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or Rates &amp; ELR" sheetId="1" state="visible" r:id="rId3"/>
    <sheet name="Grid vs No Grid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8" authorId="0">
      <text>
        <r>
          <rPr>
            <sz val="10"/>
            <rFont val="Arial"/>
            <family val="2"/>
          </rPr>
          <t xml:space="preserve">Door rates weighted by Jul-Sep CP sold hours.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Group target used in the Day 2 deck: CP ELR at 70% of door rate. Change it here and every status updates.</t>
        </r>
      </text>
    </comment>
  </commentList>
</comments>
</file>

<file path=xl/sharedStrings.xml><?xml version="1.0" encoding="utf-8"?>
<sst xmlns="http://schemas.openxmlformats.org/spreadsheetml/2006/main" count="154" uniqueCount="85">
  <si>
    <t xml:space="preserve">Door Rates and CP ELR % of Door Rate, by Store</t>
  </si>
  <si>
    <t xml:space="preserve">CP ELR July-September 2026 · door rates from the store door rate sheet, Oct 15, 2026 · ranked by ELR % of door rate</t>
  </si>
  <si>
    <t xml:space="preserve">Rank</t>
  </si>
  <si>
    <t xml:space="preserve">Store</t>
  </si>
  <si>
    <t xml:space="preserve">Segment</t>
  </si>
  <si>
    <t xml:space="preserve">Labor Grid</t>
  </si>
  <si>
    <t xml:space="preserve">Door Rate ($/hr)</t>
  </si>
  <si>
    <t xml:space="preserve">Premium Rate ($/hr)</t>
  </si>
  <si>
    <t xml:space="preserve">Premium Applies To</t>
  </si>
  <si>
    <t xml:space="preserve">CP Labor Sale Jul-Sep ($)</t>
  </si>
  <si>
    <t xml:space="preserve">CP Sold Hours Jul-Sep</t>
  </si>
  <si>
    <t xml:space="preserve">CP ELR ($/hr)</t>
  </si>
  <si>
    <t xml:space="preserve">ELR % of Door Rate</t>
  </si>
  <si>
    <t xml:space="preserve">Target</t>
  </si>
  <si>
    <t xml:space="preserve">Vs Target (pts)</t>
  </si>
  <si>
    <t xml:space="preserve">Status</t>
  </si>
  <si>
    <t xml:space="preserve">Audi Reno</t>
  </si>
  <si>
    <t xml:space="preserve">Luxury</t>
  </si>
  <si>
    <t xml:space="preserve">Yes</t>
  </si>
  <si>
    <t xml:space="preserve">Volvo</t>
  </si>
  <si>
    <t xml:space="preserve">No</t>
  </si>
  <si>
    <t xml:space="preserve">Chevy GMC Bullhead</t>
  </si>
  <si>
    <t xml:space="preserve">Non-luxury</t>
  </si>
  <si>
    <t xml:space="preserve">Non-Standard Grid</t>
  </si>
  <si>
    <t xml:space="preserve">Hyundai St George</t>
  </si>
  <si>
    <t xml:space="preserve">Acura</t>
  </si>
  <si>
    <t xml:space="preserve">LR Reno</t>
  </si>
  <si>
    <t xml:space="preserve">Honda Flagstaff</t>
  </si>
  <si>
    <t xml:space="preserve">EV</t>
  </si>
  <si>
    <t xml:space="preserve">Honda Spokane</t>
  </si>
  <si>
    <t xml:space="preserve">Lexus</t>
  </si>
  <si>
    <t xml:space="preserve">CDJR Post Falls</t>
  </si>
  <si>
    <t xml:space="preserve">Toyota Prescott</t>
  </si>
  <si>
    <t xml:space="preserve">LR Henderson</t>
  </si>
  <si>
    <t xml:space="preserve">Kia St George</t>
  </si>
  <si>
    <t xml:space="preserve">Mazda</t>
  </si>
  <si>
    <t xml:space="preserve">VW Henderson</t>
  </si>
  <si>
    <t xml:space="preserve">VW St George</t>
  </si>
  <si>
    <t xml:space="preserve">Audi Henderson</t>
  </si>
  <si>
    <t xml:space="preserve">Lambo Non-Grid</t>
  </si>
  <si>
    <t xml:space="preserve">LR LV</t>
  </si>
  <si>
    <t xml:space="preserve">Subaru LV</t>
  </si>
  <si>
    <t xml:space="preserve">Nissan</t>
  </si>
  <si>
    <t xml:space="preserve">Toyota Flagstaff</t>
  </si>
  <si>
    <t xml:space="preserve">Subaru St George</t>
  </si>
  <si>
    <t xml:space="preserve">Toyota Henderson</t>
  </si>
  <si>
    <t xml:space="preserve">Honda Henderson</t>
  </si>
  <si>
    <t xml:space="preserve">Honda North</t>
  </si>
  <si>
    <t xml:space="preserve">Kia LV</t>
  </si>
  <si>
    <t xml:space="preserve">Lincoln</t>
  </si>
  <si>
    <t xml:space="preserve">Toyota Spokane</t>
  </si>
  <si>
    <t xml:space="preserve">GMC Prescott</t>
  </si>
  <si>
    <t xml:space="preserve">Subaru Prescott</t>
  </si>
  <si>
    <t xml:space="preserve">Chevy LV</t>
  </si>
  <si>
    <t xml:space="preserve">Diesel/Corvette</t>
  </si>
  <si>
    <t xml:space="preserve">Hyundai Prescott</t>
  </si>
  <si>
    <t xml:space="preserve">Cadillac</t>
  </si>
  <si>
    <t xml:space="preserve">Group (33 stores)</t>
  </si>
  <si>
    <t xml:space="preserve">Source: Qlik - Closed Repair Orders (CP, Jul-Sep 2026, same-store, GMC Prescott body shop out); store door rate sheet, Oct 15 2026. See Notes.</t>
  </si>
  <si>
    <t xml:space="preserve">Labor Grid vs No Grid</t>
  </si>
  <si>
    <t xml:space="preserve">CP ELR July-September 2026; door rates weighted by CP sold hours</t>
  </si>
  <si>
    <t xml:space="preserve">Pricing</t>
  </si>
  <si>
    <t xml:space="preserve">Stores</t>
  </si>
  <si>
    <t xml:space="preserve">Door Rate, Hours-Weighted ($/hr)</t>
  </si>
  <si>
    <t xml:space="preserve">Stores at or Above Target</t>
  </si>
  <si>
    <t xml:space="preserve">Labor grid</t>
  </si>
  <si>
    <t xml:space="preserve">No grid (flat door rate)</t>
  </si>
  <si>
    <t xml:space="preserve">All 33 stores</t>
  </si>
  <si>
    <t xml:space="preserve">Notes and definitions</t>
  </si>
  <si>
    <t xml:space="preserve">ELR % of door rate target</t>
  </si>
  <si>
    <t xml:space="preserve">Door rate</t>
  </si>
  <si>
    <t xml:space="preserve">Standard customer-pay labor rate from the store door rate sheet (Oct 15, 2026). Premium, EV, diesel and specialty rates are listed separately and are not used in the ELR % calculation.</t>
  </si>
  <si>
    <t xml:space="preserve">Yes = the store prices customer-pay labor on a labor grid; No = a flat door rate. From the same door rate sheet.</t>
  </si>
  <si>
    <t xml:space="preserve">CP ELR</t>
  </si>
  <si>
    <t xml:space="preserve">Effective labor rate = customer-pay labor sale / customer-pay sold hours, July-September 2026 (the last three closed months, to match current door rates).</t>
  </si>
  <si>
    <t xml:space="preserve">ELR % of door rate</t>
  </si>
  <si>
    <t xml:space="preserve">CP ELR / standard door rate: how much of the posted rate the store actually collects per hour sold. Discounts, menu pricing, grid steps and labor-time give-aways all show up here.</t>
  </si>
  <si>
    <t xml:space="preserve">Group figures</t>
  </si>
  <si>
    <t xml:space="preserve">Group ELR = total labor sale / total sold hours. Group door rate = door rates weighted by each store's CP sold hours, so busier stores count more.</t>
  </si>
  <si>
    <t xml:space="preserve">Rounding</t>
  </si>
  <si>
    <t xml:space="preserve">The deck truncates ELR % of door to one decimal (e.g. 74.79% shows as 74.7%); this workbook shows the exact value, so a figure can read 0.1 higher here.</t>
  </si>
  <si>
    <t xml:space="preserve">Basis</t>
  </si>
  <si>
    <t xml:space="preserve">Qlik - Closed Repair Orders, customer pay, by close date. 33 stores (INEOS excluded, opened 2026). GMC Prescott body shop labor types excluded.</t>
  </si>
  <si>
    <t xml:space="preserve">Inputs</t>
  </si>
  <si>
    <t xml:space="preserve">Blue numbers are inputs from the sources above; black cells are formulas. Edit the yellow target cell to test another benchmark.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</si>
</sst>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\$#,##0.00;;\-"/>
    <numFmt numFmtId="167" formatCode="\$#,##0"/>
    <numFmt numFmtId="168" formatCode="#,##0.0"/>
    <numFmt numFmtId="169" formatCode="0.0%"/>
    <numFmt numFmtId="170" formatCode="\+0.0;\-0.0;0.0"/>
    <numFmt numFmtId="171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1"/>
    <col collapsed="false" customWidth="true" hidden="false" outlineLevel="0" max="6" min="5" style="0" width="13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4" t="s">
        <v>17</v>
      </c>
      <c r="D5" s="6" t="s">
        <v>18</v>
      </c>
      <c r="E5" s="7" t="n">
        <v>235.87</v>
      </c>
      <c r="F5" s="8"/>
      <c r="H5" s="9" t="n">
        <v>856624.83</v>
      </c>
      <c r="I5" s="10" t="n">
        <v>3509</v>
      </c>
      <c r="J5" s="11" t="n">
        <f aca="false">IFERROR(H5/I5,0)</f>
        <v>244.122208606441</v>
      </c>
      <c r="K5" s="12" t="n">
        <f aca="false">IFERROR(J5/E5,0)</f>
        <v>1.03498625771162</v>
      </c>
      <c r="L5" s="13" t="n">
        <f aca="false">Notes!$B$3</f>
        <v>0.7</v>
      </c>
      <c r="M5" s="14" t="n">
        <f aca="false">(K5-L5)*100</f>
        <v>33.4986257711623</v>
      </c>
      <c r="N5" s="4" t="str">
        <f aca="false">IF(K5&gt;=L5,"At or above","Below")</f>
        <v>At or above</v>
      </c>
    </row>
    <row r="6" customFormat="false" ht="15" hidden="false" customHeight="false" outlineLevel="0" collapsed="false">
      <c r="A6" s="4" t="n">
        <v>2</v>
      </c>
      <c r="B6" s="5" t="s">
        <v>19</v>
      </c>
      <c r="C6" s="4" t="s">
        <v>17</v>
      </c>
      <c r="D6" s="6" t="s">
        <v>20</v>
      </c>
      <c r="E6" s="7" t="n">
        <v>249.95</v>
      </c>
      <c r="F6" s="8"/>
      <c r="H6" s="9" t="n">
        <v>558190.28</v>
      </c>
      <c r="I6" s="10" t="n">
        <v>2475.35</v>
      </c>
      <c r="J6" s="11" t="n">
        <f aca="false">IFERROR(H6/I6,0)</f>
        <v>225.49953743915</v>
      </c>
      <c r="K6" s="12" t="n">
        <f aca="false">IFERROR(J6/E6,0)</f>
        <v>0.902178585473695</v>
      </c>
      <c r="L6" s="13" t="n">
        <f aca="false">Notes!$B$3</f>
        <v>0.7</v>
      </c>
      <c r="M6" s="14" t="n">
        <f aca="false">(K6-L6)*100</f>
        <v>20.2178585473695</v>
      </c>
      <c r="N6" s="4" t="str">
        <f aca="false">IF(K6&gt;=L6,"At or above","Below")</f>
        <v>At or above</v>
      </c>
    </row>
    <row r="7" customFormat="false" ht="15" hidden="false" customHeight="false" outlineLevel="0" collapsed="false">
      <c r="A7" s="4" t="n">
        <v>3</v>
      </c>
      <c r="B7" s="5" t="s">
        <v>21</v>
      </c>
      <c r="C7" s="4" t="s">
        <v>22</v>
      </c>
      <c r="D7" s="6" t="s">
        <v>18</v>
      </c>
      <c r="E7" s="7" t="n">
        <v>179.87</v>
      </c>
      <c r="F7" s="15" t="n">
        <v>199.87</v>
      </c>
      <c r="G7" s="16" t="s">
        <v>23</v>
      </c>
      <c r="H7" s="9" t="n">
        <v>620037.12</v>
      </c>
      <c r="I7" s="10" t="n">
        <v>3832.2</v>
      </c>
      <c r="J7" s="11" t="n">
        <f aca="false">IFERROR(H7/I7,0)</f>
        <v>161.796649444184</v>
      </c>
      <c r="K7" s="12" t="n">
        <f aca="false">IFERROR(J7/E7,0)</f>
        <v>0.899519927971221</v>
      </c>
      <c r="L7" s="13" t="n">
        <f aca="false">Notes!$B$3</f>
        <v>0.7</v>
      </c>
      <c r="M7" s="14" t="n">
        <f aca="false">(K7-L7)*100</f>
        <v>19.9519927971221</v>
      </c>
      <c r="N7" s="4" t="str">
        <f aca="false">IF(K7&gt;=L7,"At or above","Below")</f>
        <v>At or above</v>
      </c>
    </row>
    <row r="8" customFormat="false" ht="15" hidden="false" customHeight="false" outlineLevel="0" collapsed="false">
      <c r="A8" s="4" t="n">
        <v>4</v>
      </c>
      <c r="B8" s="5" t="s">
        <v>24</v>
      </c>
      <c r="C8" s="4" t="s">
        <v>22</v>
      </c>
      <c r="D8" s="6" t="s">
        <v>18</v>
      </c>
      <c r="E8" s="7" t="n">
        <v>184.87</v>
      </c>
      <c r="F8" s="8"/>
      <c r="H8" s="9" t="n">
        <v>280332.94</v>
      </c>
      <c r="I8" s="10" t="n">
        <v>1689.17</v>
      </c>
      <c r="J8" s="11" t="n">
        <f aca="false">IFERROR(H8/I8,0)</f>
        <v>165.958985774078</v>
      </c>
      <c r="K8" s="12" t="n">
        <f aca="false">IFERROR(J8/E8,0)</f>
        <v>0.897706419506023</v>
      </c>
      <c r="L8" s="13" t="n">
        <f aca="false">Notes!$B$3</f>
        <v>0.7</v>
      </c>
      <c r="M8" s="14" t="n">
        <f aca="false">(K8-L8)*100</f>
        <v>19.7706419506023</v>
      </c>
      <c r="N8" s="4" t="str">
        <f aca="false">IF(K8&gt;=L8,"At or above","Below")</f>
        <v>At or above</v>
      </c>
    </row>
    <row r="9" customFormat="false" ht="15" hidden="false" customHeight="false" outlineLevel="0" collapsed="false">
      <c r="A9" s="4" t="n">
        <v>5</v>
      </c>
      <c r="B9" s="5" t="s">
        <v>25</v>
      </c>
      <c r="C9" s="4" t="s">
        <v>22</v>
      </c>
      <c r="D9" s="6" t="s">
        <v>18</v>
      </c>
      <c r="E9" s="7" t="n">
        <v>224.87</v>
      </c>
      <c r="F9" s="8"/>
      <c r="H9" s="9" t="n">
        <v>354368.15</v>
      </c>
      <c r="I9" s="10" t="n">
        <v>1780.4</v>
      </c>
      <c r="J9" s="11" t="n">
        <f aca="false">IFERROR(H9/I9,0)</f>
        <v>199.038502583689</v>
      </c>
      <c r="K9" s="12" t="n">
        <f aca="false">IFERROR(J9/E9,0)</f>
        <v>0.885126973734554</v>
      </c>
      <c r="L9" s="13" t="n">
        <f aca="false">Notes!$B$3</f>
        <v>0.7</v>
      </c>
      <c r="M9" s="14" t="n">
        <f aca="false">(K9-L9)*100</f>
        <v>18.5126973734554</v>
      </c>
      <c r="N9" s="4" t="str">
        <f aca="false">IF(K9&gt;=L9,"At or above","Below")</f>
        <v>At or above</v>
      </c>
    </row>
    <row r="10" customFormat="false" ht="15" hidden="false" customHeight="false" outlineLevel="0" collapsed="false">
      <c r="A10" s="4" t="n">
        <v>6</v>
      </c>
      <c r="B10" s="5" t="s">
        <v>26</v>
      </c>
      <c r="C10" s="4" t="s">
        <v>17</v>
      </c>
      <c r="D10" s="6" t="s">
        <v>20</v>
      </c>
      <c r="E10" s="7" t="n">
        <v>275</v>
      </c>
      <c r="F10" s="8"/>
      <c r="H10" s="9" t="n">
        <v>397335.31</v>
      </c>
      <c r="I10" s="10" t="n">
        <v>1665.15</v>
      </c>
      <c r="J10" s="11" t="n">
        <f aca="false">IFERROR(H10/I10,0)</f>
        <v>238.618328679098</v>
      </c>
      <c r="K10" s="12" t="n">
        <f aca="false">IFERROR(J10/E10,0)</f>
        <v>0.867703013378538</v>
      </c>
      <c r="L10" s="13" t="n">
        <f aca="false">Notes!$B$3</f>
        <v>0.7</v>
      </c>
      <c r="M10" s="14" t="n">
        <f aca="false">(K10-L10)*100</f>
        <v>16.7703013378538</v>
      </c>
      <c r="N10" s="4" t="str">
        <f aca="false">IF(K10&gt;=L10,"At or above","Below")</f>
        <v>At or above</v>
      </c>
    </row>
    <row r="11" customFormat="false" ht="15" hidden="false" customHeight="false" outlineLevel="0" collapsed="false">
      <c r="A11" s="4" t="n">
        <v>7</v>
      </c>
      <c r="B11" s="5" t="s">
        <v>27</v>
      </c>
      <c r="C11" s="4" t="s">
        <v>22</v>
      </c>
      <c r="D11" s="6" t="s">
        <v>20</v>
      </c>
      <c r="E11" s="7" t="n">
        <v>185</v>
      </c>
      <c r="F11" s="15" t="n">
        <v>215</v>
      </c>
      <c r="G11" s="16" t="s">
        <v>28</v>
      </c>
      <c r="H11" s="9" t="n">
        <v>377072.34</v>
      </c>
      <c r="I11" s="10" t="n">
        <v>2361.3</v>
      </c>
      <c r="J11" s="11" t="n">
        <f aca="false">IFERROR(H11/I11,0)</f>
        <v>159.688451276839</v>
      </c>
      <c r="K11" s="12" t="n">
        <f aca="false">IFERROR(J11/E11,0)</f>
        <v>0.863180817712643</v>
      </c>
      <c r="L11" s="13" t="n">
        <f aca="false">Notes!$B$3</f>
        <v>0.7</v>
      </c>
      <c r="M11" s="14" t="n">
        <f aca="false">(K11-L11)*100</f>
        <v>16.3180817712643</v>
      </c>
      <c r="N11" s="4" t="str">
        <f aca="false">IF(K11&gt;=L11,"At or above","Below")</f>
        <v>At or above</v>
      </c>
    </row>
    <row r="12" customFormat="false" ht="15" hidden="false" customHeight="false" outlineLevel="0" collapsed="false">
      <c r="A12" s="4" t="n">
        <v>8</v>
      </c>
      <c r="B12" s="5" t="s">
        <v>29</v>
      </c>
      <c r="C12" s="4" t="s">
        <v>22</v>
      </c>
      <c r="D12" s="6" t="s">
        <v>20</v>
      </c>
      <c r="E12" s="7" t="n">
        <v>179</v>
      </c>
      <c r="F12" s="8"/>
      <c r="H12" s="9" t="n">
        <v>906805.23</v>
      </c>
      <c r="I12" s="10" t="n">
        <v>6130.1</v>
      </c>
      <c r="J12" s="11" t="n">
        <f aca="false">IFERROR(H12/I12,0)</f>
        <v>147.926661881535</v>
      </c>
      <c r="K12" s="12" t="n">
        <f aca="false">IFERROR(J12/E12,0)</f>
        <v>0.82640593229908</v>
      </c>
      <c r="L12" s="13" t="n">
        <f aca="false">Notes!$B$3</f>
        <v>0.7</v>
      </c>
      <c r="M12" s="14" t="n">
        <f aca="false">(K12-L12)*100</f>
        <v>12.640593229908</v>
      </c>
      <c r="N12" s="4" t="str">
        <f aca="false">IF(K12&gt;=L12,"At or above","Below")</f>
        <v>At or above</v>
      </c>
    </row>
    <row r="13" customFormat="false" ht="15" hidden="false" customHeight="false" outlineLevel="0" collapsed="false">
      <c r="A13" s="4" t="n">
        <v>9</v>
      </c>
      <c r="B13" s="5" t="s">
        <v>30</v>
      </c>
      <c r="C13" s="4" t="s">
        <v>17</v>
      </c>
      <c r="D13" s="6" t="s">
        <v>20</v>
      </c>
      <c r="E13" s="7" t="n">
        <v>229.95</v>
      </c>
      <c r="F13" s="8"/>
      <c r="H13" s="9" t="n">
        <v>644364.66</v>
      </c>
      <c r="I13" s="10" t="n">
        <v>3438.1</v>
      </c>
      <c r="J13" s="11" t="n">
        <f aca="false">IFERROR(H13/I13,0)</f>
        <v>187.418824350659</v>
      </c>
      <c r="K13" s="12" t="n">
        <f aca="false">IFERROR(J13/E13,0)</f>
        <v>0.815041636663009</v>
      </c>
      <c r="L13" s="13" t="n">
        <f aca="false">Notes!$B$3</f>
        <v>0.7</v>
      </c>
      <c r="M13" s="14" t="n">
        <f aca="false">(K13-L13)*100</f>
        <v>11.5041636663009</v>
      </c>
      <c r="N13" s="4" t="str">
        <f aca="false">IF(K13&gt;=L13,"At or above","Below")</f>
        <v>At or above</v>
      </c>
    </row>
    <row r="14" customFormat="false" ht="15" hidden="false" customHeight="false" outlineLevel="0" collapsed="false">
      <c r="A14" s="4" t="n">
        <v>10</v>
      </c>
      <c r="B14" s="5" t="s">
        <v>31</v>
      </c>
      <c r="C14" s="4" t="s">
        <v>22</v>
      </c>
      <c r="D14" s="6" t="s">
        <v>20</v>
      </c>
      <c r="E14" s="7" t="n">
        <v>199.95</v>
      </c>
      <c r="F14" s="8"/>
      <c r="H14" s="9" t="n">
        <v>746429.3</v>
      </c>
      <c r="I14" s="10" t="n">
        <v>4609.62</v>
      </c>
      <c r="J14" s="11" t="n">
        <f aca="false">IFERROR(H14/I14,0)</f>
        <v>161.928597151175</v>
      </c>
      <c r="K14" s="12" t="n">
        <f aca="false">IFERROR(J14/E14,0)</f>
        <v>0.809845447117655</v>
      </c>
      <c r="L14" s="13" t="n">
        <f aca="false">Notes!$B$3</f>
        <v>0.7</v>
      </c>
      <c r="M14" s="14" t="n">
        <f aca="false">(K14-L14)*100</f>
        <v>10.9845447117655</v>
      </c>
      <c r="N14" s="4" t="str">
        <f aca="false">IF(K14&gt;=L14,"At or above","Below")</f>
        <v>At or above</v>
      </c>
    </row>
    <row r="15" customFormat="false" ht="15" hidden="false" customHeight="false" outlineLevel="0" collapsed="false">
      <c r="A15" s="4" t="n">
        <v>11</v>
      </c>
      <c r="B15" s="5" t="s">
        <v>32</v>
      </c>
      <c r="C15" s="4" t="s">
        <v>22</v>
      </c>
      <c r="D15" s="6" t="s">
        <v>20</v>
      </c>
      <c r="E15" s="7" t="n">
        <v>195</v>
      </c>
      <c r="F15" s="8"/>
      <c r="H15" s="9" t="n">
        <v>1035536.8</v>
      </c>
      <c r="I15" s="10" t="n">
        <v>6647.55</v>
      </c>
      <c r="J15" s="11" t="n">
        <f aca="false">IFERROR(H15/I15,0)</f>
        <v>155.777211152981</v>
      </c>
      <c r="K15" s="12" t="n">
        <f aca="false">IFERROR(J15/E15,0)</f>
        <v>0.798857493092211</v>
      </c>
      <c r="L15" s="13" t="n">
        <f aca="false">Notes!$B$3</f>
        <v>0.7</v>
      </c>
      <c r="M15" s="14" t="n">
        <f aca="false">(K15-L15)*100</f>
        <v>9.88574930922113</v>
      </c>
      <c r="N15" s="4" t="str">
        <f aca="false">IF(K15&gt;=L15,"At or above","Below")</f>
        <v>At or above</v>
      </c>
    </row>
    <row r="16" customFormat="false" ht="15" hidden="false" customHeight="false" outlineLevel="0" collapsed="false">
      <c r="A16" s="4" t="n">
        <v>12</v>
      </c>
      <c r="B16" s="5" t="s">
        <v>33</v>
      </c>
      <c r="C16" s="4" t="s">
        <v>17</v>
      </c>
      <c r="D16" s="6" t="s">
        <v>18</v>
      </c>
      <c r="E16" s="7" t="n">
        <v>294.87</v>
      </c>
      <c r="F16" s="8"/>
      <c r="H16" s="9" t="n">
        <v>479332.12</v>
      </c>
      <c r="I16" s="10" t="n">
        <v>2044.2</v>
      </c>
      <c r="J16" s="11" t="n">
        <f aca="false">IFERROR(H16/I16,0)</f>
        <v>234.483964387046</v>
      </c>
      <c r="K16" s="12" t="n">
        <f aca="false">IFERROR(J16/E16,0)</f>
        <v>0.795211328338069</v>
      </c>
      <c r="L16" s="13" t="n">
        <f aca="false">Notes!$B$3</f>
        <v>0.7</v>
      </c>
      <c r="M16" s="14" t="n">
        <f aca="false">(K16-L16)*100</f>
        <v>9.52113283380686</v>
      </c>
      <c r="N16" s="4" t="str">
        <f aca="false">IF(K16&gt;=L16,"At or above","Below")</f>
        <v>At or above</v>
      </c>
    </row>
    <row r="17" customFormat="false" ht="15" hidden="false" customHeight="false" outlineLevel="0" collapsed="false">
      <c r="A17" s="4" t="n">
        <v>13</v>
      </c>
      <c r="B17" s="5" t="s">
        <v>34</v>
      </c>
      <c r="C17" s="4" t="s">
        <v>22</v>
      </c>
      <c r="D17" s="6" t="s">
        <v>20</v>
      </c>
      <c r="E17" s="7" t="n">
        <v>185</v>
      </c>
      <c r="F17" s="15" t="n">
        <v>195</v>
      </c>
      <c r="G17" s="16" t="s">
        <v>28</v>
      </c>
      <c r="H17" s="9" t="n">
        <v>277972.64</v>
      </c>
      <c r="I17" s="10" t="n">
        <v>1903.35</v>
      </c>
      <c r="J17" s="11" t="n">
        <f aca="false">IFERROR(H17/I17,0)</f>
        <v>146.043891034229</v>
      </c>
      <c r="K17" s="12" t="n">
        <f aca="false">IFERROR(J17/E17,0)</f>
        <v>0.78942643802286</v>
      </c>
      <c r="L17" s="13" t="n">
        <f aca="false">Notes!$B$3</f>
        <v>0.7</v>
      </c>
      <c r="M17" s="14" t="n">
        <f aca="false">(K17-L17)*100</f>
        <v>8.94264380228603</v>
      </c>
      <c r="N17" s="4" t="str">
        <f aca="false">IF(K17&gt;=L17,"At or above","Below")</f>
        <v>At or above</v>
      </c>
    </row>
    <row r="18" customFormat="false" ht="15" hidden="false" customHeight="false" outlineLevel="0" collapsed="false">
      <c r="A18" s="4" t="n">
        <v>14</v>
      </c>
      <c r="B18" s="5" t="s">
        <v>35</v>
      </c>
      <c r="C18" s="4" t="s">
        <v>22</v>
      </c>
      <c r="D18" s="6" t="s">
        <v>18</v>
      </c>
      <c r="E18" s="7" t="n">
        <v>209.87</v>
      </c>
      <c r="F18" s="8"/>
      <c r="H18" s="9" t="n">
        <v>547775.16</v>
      </c>
      <c r="I18" s="10" t="n">
        <v>3306.5</v>
      </c>
      <c r="J18" s="11" t="n">
        <f aca="false">IFERROR(H18/I18,0)</f>
        <v>165.666160592772</v>
      </c>
      <c r="K18" s="12" t="n">
        <f aca="false">IFERROR(J18/E18,0)</f>
        <v>0.789375139814036</v>
      </c>
      <c r="L18" s="13" t="n">
        <f aca="false">Notes!$B$3</f>
        <v>0.7</v>
      </c>
      <c r="M18" s="14" t="n">
        <f aca="false">(K18-L18)*100</f>
        <v>8.93751398140364</v>
      </c>
      <c r="N18" s="4" t="str">
        <f aca="false">IF(K18&gt;=L18,"At or above","Below")</f>
        <v>At or above</v>
      </c>
    </row>
    <row r="19" customFormat="false" ht="15" hidden="false" customHeight="false" outlineLevel="0" collapsed="false">
      <c r="A19" s="4" t="n">
        <v>15</v>
      </c>
      <c r="B19" s="5" t="s">
        <v>36</v>
      </c>
      <c r="C19" s="4" t="s">
        <v>22</v>
      </c>
      <c r="D19" s="6" t="s">
        <v>18</v>
      </c>
      <c r="E19" s="7" t="n">
        <v>204.87</v>
      </c>
      <c r="F19" s="15" t="n">
        <v>210</v>
      </c>
      <c r="G19" s="16" t="s">
        <v>28</v>
      </c>
      <c r="H19" s="9" t="n">
        <v>706562.37</v>
      </c>
      <c r="I19" s="10" t="n">
        <v>4392.88</v>
      </c>
      <c r="J19" s="11" t="n">
        <f aca="false">IFERROR(H19/I19,0)</f>
        <v>160.842629436725</v>
      </c>
      <c r="K19" s="12" t="n">
        <f aca="false">IFERROR(J19/E19,0)</f>
        <v>0.785096058167252</v>
      </c>
      <c r="L19" s="13" t="n">
        <f aca="false">Notes!$B$3</f>
        <v>0.7</v>
      </c>
      <c r="M19" s="14" t="n">
        <f aca="false">(K19-L19)*100</f>
        <v>8.50960581672519</v>
      </c>
      <c r="N19" s="4" t="str">
        <f aca="false">IF(K19&gt;=L19,"At or above","Below")</f>
        <v>At or above</v>
      </c>
    </row>
    <row r="20" customFormat="false" ht="15" hidden="false" customHeight="false" outlineLevel="0" collapsed="false">
      <c r="A20" s="4" t="n">
        <v>16</v>
      </c>
      <c r="B20" s="5" t="s">
        <v>37</v>
      </c>
      <c r="C20" s="4" t="s">
        <v>22</v>
      </c>
      <c r="D20" s="6" t="s">
        <v>18</v>
      </c>
      <c r="E20" s="7" t="n">
        <v>184.87</v>
      </c>
      <c r="F20" s="8"/>
      <c r="H20" s="9" t="n">
        <v>150096.13</v>
      </c>
      <c r="I20" s="10" t="n">
        <v>1057.8</v>
      </c>
      <c r="J20" s="11" t="n">
        <f aca="false">IFERROR(H20/I20,0)</f>
        <v>141.894620911325</v>
      </c>
      <c r="K20" s="12" t="n">
        <f aca="false">IFERROR(J20/E20,0)</f>
        <v>0.767537301408154</v>
      </c>
      <c r="L20" s="13" t="n">
        <f aca="false">Notes!$B$3</f>
        <v>0.7</v>
      </c>
      <c r="M20" s="14" t="n">
        <f aca="false">(K20-L20)*100</f>
        <v>6.75373014081538</v>
      </c>
      <c r="N20" s="4" t="str">
        <f aca="false">IF(K20&gt;=L20,"At or above","Below")</f>
        <v>At or above</v>
      </c>
    </row>
    <row r="21" customFormat="false" ht="15" hidden="false" customHeight="false" outlineLevel="0" collapsed="false">
      <c r="A21" s="4" t="n">
        <v>17</v>
      </c>
      <c r="B21" s="5" t="s">
        <v>38</v>
      </c>
      <c r="C21" s="4" t="s">
        <v>17</v>
      </c>
      <c r="D21" s="6" t="s">
        <v>18</v>
      </c>
      <c r="E21" s="7" t="n">
        <v>348.87</v>
      </c>
      <c r="F21" s="15" t="n">
        <v>399</v>
      </c>
      <c r="G21" s="16" t="s">
        <v>39</v>
      </c>
      <c r="H21" s="9" t="n">
        <v>1229920.28</v>
      </c>
      <c r="I21" s="10" t="n">
        <v>4611.2</v>
      </c>
      <c r="J21" s="11" t="n">
        <f aca="false">IFERROR(H21/I21,0)</f>
        <v>266.72455759889</v>
      </c>
      <c r="K21" s="12" t="n">
        <f aca="false">IFERROR(J21/E21,0)</f>
        <v>0.764538531828159</v>
      </c>
      <c r="L21" s="13" t="n">
        <f aca="false">Notes!$B$3</f>
        <v>0.7</v>
      </c>
      <c r="M21" s="14" t="n">
        <f aca="false">(K21-L21)*100</f>
        <v>6.45385318281587</v>
      </c>
      <c r="N21" s="4" t="str">
        <f aca="false">IF(K21&gt;=L21,"At or above","Below")</f>
        <v>At or above</v>
      </c>
    </row>
    <row r="22" customFormat="false" ht="15" hidden="false" customHeight="false" outlineLevel="0" collapsed="false">
      <c r="A22" s="4" t="n">
        <v>18</v>
      </c>
      <c r="B22" s="5" t="s">
        <v>40</v>
      </c>
      <c r="C22" s="4" t="s">
        <v>17</v>
      </c>
      <c r="D22" s="6" t="s">
        <v>18</v>
      </c>
      <c r="E22" s="7" t="n">
        <v>310</v>
      </c>
      <c r="F22" s="8"/>
      <c r="H22" s="9" t="n">
        <v>1187490.42</v>
      </c>
      <c r="I22" s="10" t="n">
        <v>5077.34</v>
      </c>
      <c r="J22" s="11" t="n">
        <f aca="false">IFERROR(H22/I22,0)</f>
        <v>233.880421638102</v>
      </c>
      <c r="K22" s="12" t="n">
        <f aca="false">IFERROR(J22/E22,0)</f>
        <v>0.754452973026135</v>
      </c>
      <c r="L22" s="13" t="n">
        <f aca="false">Notes!$B$3</f>
        <v>0.7</v>
      </c>
      <c r="M22" s="14" t="n">
        <f aca="false">(K22-L22)*100</f>
        <v>5.44529730261349</v>
      </c>
      <c r="N22" s="4" t="str">
        <f aca="false">IF(K22&gt;=L22,"At or above","Below")</f>
        <v>At or above</v>
      </c>
    </row>
    <row r="23" customFormat="false" ht="15" hidden="false" customHeight="false" outlineLevel="0" collapsed="false">
      <c r="A23" s="4" t="n">
        <v>19</v>
      </c>
      <c r="B23" s="5" t="s">
        <v>41</v>
      </c>
      <c r="C23" s="4" t="s">
        <v>22</v>
      </c>
      <c r="D23" s="6" t="s">
        <v>20</v>
      </c>
      <c r="E23" s="7" t="n">
        <v>215.37</v>
      </c>
      <c r="F23" s="8"/>
      <c r="H23" s="9" t="n">
        <v>1553824.1</v>
      </c>
      <c r="I23" s="10" t="n">
        <v>9584.25</v>
      </c>
      <c r="J23" s="11" t="n">
        <f aca="false">IFERROR(H23/I23,0)</f>
        <v>162.122659571693</v>
      </c>
      <c r="K23" s="12" t="n">
        <f aca="false">IFERROR(J23/E23,0)</f>
        <v>0.75276342838693</v>
      </c>
      <c r="L23" s="13" t="n">
        <f aca="false">Notes!$B$3</f>
        <v>0.7</v>
      </c>
      <c r="M23" s="14" t="n">
        <f aca="false">(K23-L23)*100</f>
        <v>5.27634283869303</v>
      </c>
      <c r="N23" s="4" t="str">
        <f aca="false">IF(K23&gt;=L23,"At or above","Below")</f>
        <v>At or above</v>
      </c>
    </row>
    <row r="24" customFormat="false" ht="15" hidden="false" customHeight="false" outlineLevel="0" collapsed="false">
      <c r="A24" s="4" t="n">
        <v>20</v>
      </c>
      <c r="B24" s="5" t="s">
        <v>42</v>
      </c>
      <c r="C24" s="4" t="s">
        <v>22</v>
      </c>
      <c r="D24" s="6" t="s">
        <v>18</v>
      </c>
      <c r="E24" s="7" t="n">
        <v>239.87</v>
      </c>
      <c r="F24" s="8"/>
      <c r="H24" s="9" t="n">
        <v>869606.26</v>
      </c>
      <c r="I24" s="10" t="n">
        <v>4827.31</v>
      </c>
      <c r="J24" s="11" t="n">
        <f aca="false">IFERROR(H24/I24,0)</f>
        <v>180.143032040619</v>
      </c>
      <c r="K24" s="12" t="n">
        <f aca="false">IFERROR(J24/E24,0)</f>
        <v>0.751002759997577</v>
      </c>
      <c r="L24" s="13" t="n">
        <f aca="false">Notes!$B$3</f>
        <v>0.7</v>
      </c>
      <c r="M24" s="14" t="n">
        <f aca="false">(K24-L24)*100</f>
        <v>5.10027599975774</v>
      </c>
      <c r="N24" s="4" t="str">
        <f aca="false">IF(K24&gt;=L24,"At or above","Below")</f>
        <v>At or above</v>
      </c>
    </row>
    <row r="25" customFormat="false" ht="15" hidden="false" customHeight="false" outlineLevel="0" collapsed="false">
      <c r="A25" s="4" t="n">
        <v>21</v>
      </c>
      <c r="B25" s="5" t="s">
        <v>43</v>
      </c>
      <c r="C25" s="4" t="s">
        <v>22</v>
      </c>
      <c r="D25" s="6" t="s">
        <v>20</v>
      </c>
      <c r="E25" s="7" t="n">
        <v>190</v>
      </c>
      <c r="F25" s="8"/>
      <c r="H25" s="9" t="n">
        <v>1004709.55</v>
      </c>
      <c r="I25" s="10" t="n">
        <v>7049.92</v>
      </c>
      <c r="J25" s="11" t="n">
        <f aca="false">IFERROR(H25/I25,0)</f>
        <v>142.513610083519</v>
      </c>
      <c r="K25" s="12" t="n">
        <f aca="false">IFERROR(J25/E25,0)</f>
        <v>0.750071632018519</v>
      </c>
      <c r="L25" s="13" t="n">
        <f aca="false">Notes!$B$3</f>
        <v>0.7</v>
      </c>
      <c r="M25" s="14" t="n">
        <f aca="false">(K25-L25)*100</f>
        <v>5.00716320185194</v>
      </c>
      <c r="N25" s="4" t="str">
        <f aca="false">IF(K25&gt;=L25,"At or above","Below")</f>
        <v>At or above</v>
      </c>
    </row>
    <row r="26" customFormat="false" ht="15" hidden="false" customHeight="false" outlineLevel="0" collapsed="false">
      <c r="A26" s="4" t="n">
        <v>22</v>
      </c>
      <c r="B26" s="5" t="s">
        <v>44</v>
      </c>
      <c r="C26" s="4" t="s">
        <v>22</v>
      </c>
      <c r="D26" s="6" t="s">
        <v>20</v>
      </c>
      <c r="E26" s="7" t="n">
        <v>185</v>
      </c>
      <c r="F26" s="15" t="n">
        <v>210</v>
      </c>
      <c r="G26" s="16" t="s">
        <v>28</v>
      </c>
      <c r="H26" s="9" t="n">
        <v>578006.07</v>
      </c>
      <c r="I26" s="10" t="n">
        <v>4228.06</v>
      </c>
      <c r="J26" s="11" t="n">
        <f aca="false">IFERROR(H26/I26,0)</f>
        <v>136.707158838805</v>
      </c>
      <c r="K26" s="12" t="n">
        <f aca="false">IFERROR(J26/E26,0)</f>
        <v>0.738957615344895</v>
      </c>
      <c r="L26" s="13" t="n">
        <f aca="false">Notes!$B$3</f>
        <v>0.7</v>
      </c>
      <c r="M26" s="14" t="n">
        <f aca="false">(K26-L26)*100</f>
        <v>3.89576153448945</v>
      </c>
      <c r="N26" s="4" t="str">
        <f aca="false">IF(K26&gt;=L26,"At or above","Below")</f>
        <v>At or above</v>
      </c>
    </row>
    <row r="27" customFormat="false" ht="15" hidden="false" customHeight="false" outlineLevel="0" collapsed="false">
      <c r="A27" s="4" t="n">
        <v>23</v>
      </c>
      <c r="B27" s="5" t="s">
        <v>45</v>
      </c>
      <c r="C27" s="4" t="s">
        <v>22</v>
      </c>
      <c r="D27" s="6" t="s">
        <v>18</v>
      </c>
      <c r="E27" s="7" t="n">
        <v>211.26</v>
      </c>
      <c r="F27" s="8"/>
      <c r="H27" s="9" t="n">
        <v>3950384.96</v>
      </c>
      <c r="I27" s="10" t="n">
        <v>25560.25</v>
      </c>
      <c r="J27" s="11" t="n">
        <f aca="false">IFERROR(H27/I27,0)</f>
        <v>154.551890533152</v>
      </c>
      <c r="K27" s="12" t="n">
        <f aca="false">IFERROR(J27/E27,0)</f>
        <v>0.731571951780517</v>
      </c>
      <c r="L27" s="13" t="n">
        <f aca="false">Notes!$B$3</f>
        <v>0.7</v>
      </c>
      <c r="M27" s="14" t="n">
        <f aca="false">(K27-L27)*100</f>
        <v>3.15719517805173</v>
      </c>
      <c r="N27" s="4" t="str">
        <f aca="false">IF(K27&gt;=L27,"At or above","Below")</f>
        <v>At or above</v>
      </c>
    </row>
    <row r="28" customFormat="false" ht="15" hidden="false" customHeight="false" outlineLevel="0" collapsed="false">
      <c r="A28" s="4" t="n">
        <v>24</v>
      </c>
      <c r="B28" s="5" t="s">
        <v>46</v>
      </c>
      <c r="C28" s="4" t="s">
        <v>22</v>
      </c>
      <c r="D28" s="6" t="s">
        <v>18</v>
      </c>
      <c r="E28" s="7" t="n">
        <v>211.87</v>
      </c>
      <c r="F28" s="8"/>
      <c r="H28" s="9" t="n">
        <v>2208013.26</v>
      </c>
      <c r="I28" s="10" t="n">
        <v>14388.82</v>
      </c>
      <c r="J28" s="11" t="n">
        <f aca="false">IFERROR(H28/I28,0)</f>
        <v>153.453393676479</v>
      </c>
      <c r="K28" s="12" t="n">
        <f aca="false">IFERROR(J28/E28,0)</f>
        <v>0.724280897137298</v>
      </c>
      <c r="L28" s="13" t="n">
        <f aca="false">Notes!$B$3</f>
        <v>0.7</v>
      </c>
      <c r="M28" s="14" t="n">
        <f aca="false">(K28-L28)*100</f>
        <v>2.42808971372983</v>
      </c>
      <c r="N28" s="4" t="str">
        <f aca="false">IF(K28&gt;=L28,"At or above","Below")</f>
        <v>At or above</v>
      </c>
    </row>
    <row r="29" customFormat="false" ht="15" hidden="false" customHeight="false" outlineLevel="0" collapsed="false">
      <c r="A29" s="4" t="n">
        <v>25</v>
      </c>
      <c r="B29" s="5" t="s">
        <v>47</v>
      </c>
      <c r="C29" s="4" t="s">
        <v>22</v>
      </c>
      <c r="D29" s="6" t="s">
        <v>18</v>
      </c>
      <c r="E29" s="7" t="n">
        <v>211.87</v>
      </c>
      <c r="F29" s="8"/>
      <c r="H29" s="9" t="n">
        <v>1543353.27</v>
      </c>
      <c r="I29" s="10" t="n">
        <v>10309.83</v>
      </c>
      <c r="J29" s="11" t="n">
        <f aca="false">IFERROR(H29/I29,0)</f>
        <v>149.697256889784</v>
      </c>
      <c r="K29" s="12" t="n">
        <f aca="false">IFERROR(J29/E29,0)</f>
        <v>0.706552399536432</v>
      </c>
      <c r="L29" s="13" t="n">
        <f aca="false">Notes!$B$3</f>
        <v>0.7</v>
      </c>
      <c r="M29" s="14" t="n">
        <f aca="false">(K29-L29)*100</f>
        <v>0.655239953643194</v>
      </c>
      <c r="N29" s="4" t="str">
        <f aca="false">IF(K29&gt;=L29,"At or above","Below")</f>
        <v>At or above</v>
      </c>
    </row>
    <row r="30" customFormat="false" ht="15" hidden="false" customHeight="false" outlineLevel="0" collapsed="false">
      <c r="A30" s="4" t="n">
        <v>26</v>
      </c>
      <c r="B30" s="5" t="s">
        <v>48</v>
      </c>
      <c r="C30" s="4" t="s">
        <v>22</v>
      </c>
      <c r="D30" s="6" t="s">
        <v>18</v>
      </c>
      <c r="E30" s="7" t="n">
        <v>219.87</v>
      </c>
      <c r="F30" s="8"/>
      <c r="H30" s="9" t="n">
        <v>646918.03</v>
      </c>
      <c r="I30" s="10" t="n">
        <v>4292.09</v>
      </c>
      <c r="J30" s="11" t="n">
        <f aca="false">IFERROR(H30/I30,0)</f>
        <v>150.723314282785</v>
      </c>
      <c r="K30" s="12" t="n">
        <f aca="false">IFERROR(J30/E30,0)</f>
        <v>0.68551104872327</v>
      </c>
      <c r="L30" s="13" t="n">
        <f aca="false">Notes!$B$3</f>
        <v>0.7</v>
      </c>
      <c r="M30" s="14" t="n">
        <f aca="false">(K30-L30)*100</f>
        <v>-1.44889512767302</v>
      </c>
      <c r="N30" s="4" t="str">
        <f aca="false">IF(K30&gt;=L30,"At or above","Below")</f>
        <v>Below</v>
      </c>
    </row>
    <row r="31" customFormat="false" ht="15" hidden="false" customHeight="false" outlineLevel="0" collapsed="false">
      <c r="A31" s="4" t="n">
        <v>27</v>
      </c>
      <c r="B31" s="5" t="s">
        <v>49</v>
      </c>
      <c r="C31" s="4" t="s">
        <v>17</v>
      </c>
      <c r="D31" s="6" t="s">
        <v>20</v>
      </c>
      <c r="E31" s="7" t="n">
        <v>244.87</v>
      </c>
      <c r="F31" s="8"/>
      <c r="H31" s="9" t="n">
        <v>360172.43</v>
      </c>
      <c r="I31" s="10" t="n">
        <v>2153.85</v>
      </c>
      <c r="J31" s="11" t="n">
        <f aca="false">IFERROR(H31/I31,0)</f>
        <v>167.222615316758</v>
      </c>
      <c r="K31" s="12" t="n">
        <f aca="false">IFERROR(J31/E31,0)</f>
        <v>0.682903644042792</v>
      </c>
      <c r="L31" s="13" t="n">
        <f aca="false">Notes!$B$3</f>
        <v>0.7</v>
      </c>
      <c r="M31" s="14" t="n">
        <f aca="false">(K31-L31)*100</f>
        <v>-1.70963559572084</v>
      </c>
      <c r="N31" s="4" t="str">
        <f aca="false">IF(K31&gt;=L31,"At or above","Below")</f>
        <v>Below</v>
      </c>
    </row>
    <row r="32" customFormat="false" ht="15" hidden="false" customHeight="false" outlineLevel="0" collapsed="false">
      <c r="A32" s="4" t="n">
        <v>28</v>
      </c>
      <c r="B32" s="5" t="s">
        <v>50</v>
      </c>
      <c r="C32" s="4" t="s">
        <v>22</v>
      </c>
      <c r="D32" s="6" t="s">
        <v>20</v>
      </c>
      <c r="E32" s="7" t="n">
        <v>185</v>
      </c>
      <c r="F32" s="8"/>
      <c r="H32" s="9" t="n">
        <v>1074457.1</v>
      </c>
      <c r="I32" s="10" t="n">
        <v>8600.97</v>
      </c>
      <c r="J32" s="11" t="n">
        <f aca="false">IFERROR(H32/I32,0)</f>
        <v>124.92278196529</v>
      </c>
      <c r="K32" s="12" t="n">
        <f aca="false">IFERROR(J32/E32,0)</f>
        <v>0.675258280893459</v>
      </c>
      <c r="L32" s="13" t="n">
        <f aca="false">Notes!$B$3</f>
        <v>0.7</v>
      </c>
      <c r="M32" s="14" t="n">
        <f aca="false">(K32-L32)*100</f>
        <v>-2.47417191065406</v>
      </c>
      <c r="N32" s="4" t="str">
        <f aca="false">IF(K32&gt;=L32,"At or above","Below")</f>
        <v>Below</v>
      </c>
    </row>
    <row r="33" customFormat="false" ht="15" hidden="false" customHeight="false" outlineLevel="0" collapsed="false">
      <c r="A33" s="4" t="n">
        <v>29</v>
      </c>
      <c r="B33" s="5" t="s">
        <v>51</v>
      </c>
      <c r="C33" s="4" t="s">
        <v>22</v>
      </c>
      <c r="D33" s="6" t="s">
        <v>20</v>
      </c>
      <c r="E33" s="7" t="n">
        <v>220</v>
      </c>
      <c r="F33" s="15" t="n">
        <v>230</v>
      </c>
      <c r="G33" s="16" t="s">
        <v>28</v>
      </c>
      <c r="H33" s="9" t="n">
        <v>326003.27</v>
      </c>
      <c r="I33" s="10" t="n">
        <v>2218.87</v>
      </c>
      <c r="J33" s="11" t="n">
        <f aca="false">IFERROR(H33/I33,0)</f>
        <v>146.923105003898</v>
      </c>
      <c r="K33" s="12" t="n">
        <f aca="false">IFERROR(J33/E33,0)</f>
        <v>0.667832295472265</v>
      </c>
      <c r="L33" s="13" t="n">
        <f aca="false">Notes!$B$3</f>
        <v>0.7</v>
      </c>
      <c r="M33" s="14" t="n">
        <f aca="false">(K33-L33)*100</f>
        <v>-3.21677045277345</v>
      </c>
      <c r="N33" s="4" t="str">
        <f aca="false">IF(K33&gt;=L33,"At or above","Below")</f>
        <v>Below</v>
      </c>
    </row>
    <row r="34" customFormat="false" ht="15" hidden="false" customHeight="false" outlineLevel="0" collapsed="false">
      <c r="A34" s="4" t="n">
        <v>30</v>
      </c>
      <c r="B34" s="5" t="s">
        <v>52</v>
      </c>
      <c r="C34" s="4" t="s">
        <v>22</v>
      </c>
      <c r="D34" s="6" t="s">
        <v>20</v>
      </c>
      <c r="E34" s="7" t="n">
        <v>210</v>
      </c>
      <c r="F34" s="8"/>
      <c r="H34" s="9" t="n">
        <v>380617.66</v>
      </c>
      <c r="I34" s="10" t="n">
        <v>2722.47</v>
      </c>
      <c r="J34" s="11" t="n">
        <f aca="false">IFERROR(H34/I34,0)</f>
        <v>139.806007045073</v>
      </c>
      <c r="K34" s="12" t="n">
        <f aca="false">IFERROR(J34/E34,0)</f>
        <v>0.665742890690824</v>
      </c>
      <c r="L34" s="13" t="n">
        <f aca="false">Notes!$B$3</f>
        <v>0.7</v>
      </c>
      <c r="M34" s="14" t="n">
        <f aca="false">(K34-L34)*100</f>
        <v>-3.42571093091759</v>
      </c>
      <c r="N34" s="4" t="str">
        <f aca="false">IF(K34&gt;=L34,"At or above","Below")</f>
        <v>Below</v>
      </c>
    </row>
    <row r="35" customFormat="false" ht="15" hidden="false" customHeight="false" outlineLevel="0" collapsed="false">
      <c r="A35" s="4" t="n">
        <v>31</v>
      </c>
      <c r="B35" s="5" t="s">
        <v>53</v>
      </c>
      <c r="C35" s="4" t="s">
        <v>22</v>
      </c>
      <c r="D35" s="6" t="s">
        <v>18</v>
      </c>
      <c r="E35" s="7" t="n">
        <v>224.87</v>
      </c>
      <c r="F35" s="15" t="n">
        <v>264.87</v>
      </c>
      <c r="G35" s="16" t="s">
        <v>54</v>
      </c>
      <c r="H35" s="9" t="n">
        <v>2196459.07</v>
      </c>
      <c r="I35" s="10" t="n">
        <v>15019</v>
      </c>
      <c r="J35" s="11" t="n">
        <f aca="false">IFERROR(H35/I35,0)</f>
        <v>146.245360543312</v>
      </c>
      <c r="K35" s="12" t="n">
        <f aca="false">IFERROR(J35/E35,0)</f>
        <v>0.650355140940596</v>
      </c>
      <c r="L35" s="13" t="n">
        <f aca="false">Notes!$B$3</f>
        <v>0.7</v>
      </c>
      <c r="M35" s="14" t="n">
        <f aca="false">(K35-L35)*100</f>
        <v>-4.96448590594041</v>
      </c>
      <c r="N35" s="4" t="str">
        <f aca="false">IF(K35&gt;=L35,"At or above","Below")</f>
        <v>Below</v>
      </c>
    </row>
    <row r="36" customFormat="false" ht="15" hidden="false" customHeight="false" outlineLevel="0" collapsed="false">
      <c r="A36" s="4" t="n">
        <v>32</v>
      </c>
      <c r="B36" s="5" t="s">
        <v>55</v>
      </c>
      <c r="C36" s="4" t="s">
        <v>22</v>
      </c>
      <c r="D36" s="6" t="s">
        <v>20</v>
      </c>
      <c r="E36" s="7" t="n">
        <v>210</v>
      </c>
      <c r="F36" s="8"/>
      <c r="H36" s="9" t="n">
        <v>159689.18</v>
      </c>
      <c r="I36" s="10" t="n">
        <v>1173.13</v>
      </c>
      <c r="J36" s="11" t="n">
        <f aca="false">IFERROR(H36/I36,0)</f>
        <v>136.122322334268</v>
      </c>
      <c r="K36" s="12" t="n">
        <f aca="false">IFERROR(J36/E36,0)</f>
        <v>0.648201534925086</v>
      </c>
      <c r="L36" s="13" t="n">
        <f aca="false">Notes!$B$3</f>
        <v>0.7</v>
      </c>
      <c r="M36" s="14" t="n">
        <f aca="false">(K36-L36)*100</f>
        <v>-5.17984650749136</v>
      </c>
      <c r="N36" s="4" t="str">
        <f aca="false">IF(K36&gt;=L36,"At or above","Below")</f>
        <v>Below</v>
      </c>
    </row>
    <row r="37" customFormat="false" ht="15" hidden="false" customHeight="false" outlineLevel="0" collapsed="false">
      <c r="A37" s="4" t="n">
        <v>33</v>
      </c>
      <c r="B37" s="5" t="s">
        <v>56</v>
      </c>
      <c r="C37" s="4" t="s">
        <v>17</v>
      </c>
      <c r="D37" s="6" t="s">
        <v>18</v>
      </c>
      <c r="E37" s="7" t="n">
        <v>285</v>
      </c>
      <c r="F37" s="8"/>
      <c r="H37" s="9" t="n">
        <v>750222.83</v>
      </c>
      <c r="I37" s="10" t="n">
        <v>4275.4</v>
      </c>
      <c r="J37" s="11" t="n">
        <f aca="false">IFERROR(H37/I37,0)</f>
        <v>175.474301819713</v>
      </c>
      <c r="K37" s="12" t="n">
        <f aca="false">IFERROR(J37/E37,0)</f>
        <v>0.615699304630571</v>
      </c>
      <c r="L37" s="13" t="n">
        <f aca="false">Notes!$B$3</f>
        <v>0.7</v>
      </c>
      <c r="M37" s="14" t="n">
        <f aca="false">(K37-L37)*100</f>
        <v>-8.43006953694287</v>
      </c>
      <c r="N37" s="4" t="str">
        <f aca="false">IF(K37&gt;=L37,"At or above","Below")</f>
        <v>Below</v>
      </c>
    </row>
    <row r="38" customFormat="false" ht="15" hidden="false" customHeight="false" outlineLevel="0" collapsed="false">
      <c r="A38" s="17"/>
      <c r="B38" s="18" t="s">
        <v>57</v>
      </c>
      <c r="C38" s="17"/>
      <c r="D38" s="19" t="str">
        <f aca="false">COUNTIF(D5:D37,"Yes")&amp;" grid / "&amp;COUNTIF(D5:D37,"No")&amp;" no grid"</f>
        <v>17 grid / 16 no grid</v>
      </c>
      <c r="E38" s="20" t="n">
        <f aca="false">SUMPRODUCT(E5:E37,I5:I37)/SUM(I5:I37)</f>
        <v>218.818873820241</v>
      </c>
      <c r="F38" s="21"/>
      <c r="G38" s="22"/>
      <c r="H38" s="23" t="n">
        <f aca="false">SUM(H5:H37)</f>
        <v>28958683.12</v>
      </c>
      <c r="I38" s="24" t="n">
        <f aca="false">SUM(I5:I37)</f>
        <v>176935.43</v>
      </c>
      <c r="J38" s="20" t="n">
        <f aca="false">IFERROR(H38/I38,0)</f>
        <v>163.668085696573</v>
      </c>
      <c r="K38" s="25" t="n">
        <f aca="false">IFERROR(J38/E38,0)</f>
        <v>0.747961466208012</v>
      </c>
      <c r="L38" s="26" t="n">
        <f aca="false">Notes!$B$3</f>
        <v>0.7</v>
      </c>
      <c r="M38" s="27" t="n">
        <f aca="false">(K38-L38)*100</f>
        <v>4.79614662080119</v>
      </c>
      <c r="N38" s="19" t="str">
        <f aca="false">COUNTIF(N5:N37,"At or above")&amp;" of 33 at or above"</f>
        <v>25 of 33 at or above</v>
      </c>
    </row>
    <row r="40" customFormat="false" ht="15" hidden="false" customHeight="false" outlineLevel="0" collapsed="false">
      <c r="B40" s="2" t="s">
        <v>58</v>
      </c>
    </row>
  </sheetData>
  <conditionalFormatting sqref="N5:N37">
    <cfRule type="expression" priority="2" aboveAverage="0" equalAverage="0" bottom="0" percent="0" rank="0" text="" dxfId="0">
      <formula>$N5="At or above"</formula>
    </cfRule>
    <cfRule type="expression" priority="3" aboveAverage="0" equalAverage="0" bottom="0" percent="0" rank="0" text="" dxfId="1">
      <formula>$N5="Below"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31.5" hidden="false" customHeight="true" outlineLevel="0" collapsed="false">
      <c r="A4" s="3" t="s">
        <v>61</v>
      </c>
      <c r="B4" s="3" t="s">
        <v>62</v>
      </c>
      <c r="C4" s="3" t="s">
        <v>63</v>
      </c>
      <c r="D4" s="3" t="s">
        <v>11</v>
      </c>
      <c r="E4" s="3" t="s">
        <v>12</v>
      </c>
      <c r="F4" s="3" t="s">
        <v>64</v>
      </c>
    </row>
    <row r="5" customFormat="false" ht="15" hidden="false" customHeight="false" outlineLevel="0" collapsed="false">
      <c r="A5" s="5" t="s">
        <v>65</v>
      </c>
      <c r="B5" s="28" t="n">
        <f aca="false">COUNTIF('Door Rates &amp; ELR'!$D$5:$D$37,"Yes")</f>
        <v>17</v>
      </c>
      <c r="C5" s="29" t="n">
        <f aca="false">SUMPRODUCT(('Door Rates &amp; ELR'!$D$5:$D$37="Yes")*'Door Rates &amp; ELR'!$E$5:$E$37*'Door Rates &amp; ELR'!$I$5:$I$37)/SUMIF('Door Rates &amp; ELR'!$D$5:$D$37,"Yes",'Door Rates &amp; ELR'!$I$5:$I$37)</f>
        <v>228.552749105943</v>
      </c>
      <c r="D5" s="29" t="n">
        <f aca="false">SUMIF('Door Rates &amp; ELR'!$D$5:$D$37,"Yes",'Door Rates &amp; ELR'!$H$5:$H$37)/SUMIF('Door Rates &amp; ELR'!$D$5:$D$37,"Yes",'Door Rates &amp; ELR'!$I$5:$I$37)</f>
        <v>168.927203207976</v>
      </c>
      <c r="E5" s="12" t="n">
        <f aca="false">IFERROR(D5/C5,0)</f>
        <v>0.739116916636482</v>
      </c>
      <c r="F5" s="28" t="n">
        <f aca="false">COUNTIFS('Door Rates &amp; ELR'!$D$5:$D$37,"Yes",'Door Rates &amp; ELR'!$N$5:$N$37,"At or above")</f>
        <v>14</v>
      </c>
    </row>
    <row r="6" customFormat="false" ht="15" hidden="false" customHeight="false" outlineLevel="0" collapsed="false">
      <c r="A6" s="5" t="s">
        <v>66</v>
      </c>
      <c r="B6" s="28" t="n">
        <f aca="false">COUNTIF('Door Rates &amp; ELR'!$D$5:$D$37,"No")</f>
        <v>16</v>
      </c>
      <c r="C6" s="29" t="n">
        <f aca="false">SUMPRODUCT(('Door Rates &amp; ELR'!$D$5:$D$37="No")*'Door Rates &amp; ELR'!$E$5:$E$37*'Door Rates &amp; ELR'!$I$5:$I$37)/SUMIF('Door Rates &amp; ELR'!$D$5:$D$37,"No",'Door Rates &amp; ELR'!$I$5:$I$37)</f>
        <v>202.832693246801</v>
      </c>
      <c r="D6" s="29" t="n">
        <f aca="false">SUMIF('Door Rates &amp; ELR'!$D$5:$D$37,"No",'Door Rates &amp; ELR'!$H$5:$H$37)/SUMIF('Door Rates &amp; ELR'!$D$5:$D$37,"No",'Door Rates &amp; ELR'!$I$5:$I$37)</f>
        <v>155.030908855226</v>
      </c>
      <c r="E6" s="12" t="n">
        <f aca="false">IFERROR(D6/C6,0)</f>
        <v>0.764328996344732</v>
      </c>
      <c r="F6" s="28" t="n">
        <f aca="false">COUNTIFS('Door Rates &amp; ELR'!$D$5:$D$37,"No",'Door Rates &amp; ELR'!$N$5:$N$37,"At or above")</f>
        <v>11</v>
      </c>
    </row>
    <row r="7" customFormat="false" ht="15" hidden="false" customHeight="false" outlineLevel="0" collapsed="false">
      <c r="A7" s="18" t="s">
        <v>67</v>
      </c>
      <c r="B7" s="19" t="n">
        <f aca="false">B5+B6</f>
        <v>33</v>
      </c>
      <c r="C7" s="20" t="n">
        <f aca="false">SUMPRODUCT('Door Rates &amp; ELR'!$E$5:$E$37,'Door Rates &amp; ELR'!$I$5:$I$37)/SUM('Door Rates &amp; ELR'!$I$5:$I$37)</f>
        <v>218.818873820241</v>
      </c>
      <c r="D7" s="20" t="n">
        <f aca="false">SUM('Door Rates &amp; ELR'!$H$5:$H$37)/SUM('Door Rates &amp; ELR'!$I$5:$I$37)</f>
        <v>163.668085696573</v>
      </c>
      <c r="E7" s="25" t="n">
        <f aca="false">IFERROR(D7/C7,0)</f>
        <v>0.747961466208012</v>
      </c>
      <c r="F7" s="19" t="n">
        <f aca="false">F5+F6</f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68</v>
      </c>
    </row>
    <row r="3" customFormat="false" ht="15" hidden="false" customHeight="false" outlineLevel="0" collapsed="false">
      <c r="A3" s="30" t="s">
        <v>69</v>
      </c>
      <c r="B3" s="31" t="n">
        <v>0.7</v>
      </c>
    </row>
    <row r="5" customFormat="false" ht="26.85" hidden="false" customHeight="false" outlineLevel="0" collapsed="false">
      <c r="A5" s="30" t="s">
        <v>70</v>
      </c>
      <c r="B5" s="32" t="s">
        <v>71</v>
      </c>
    </row>
    <row r="6" customFormat="false" ht="15" hidden="false" customHeight="false" outlineLevel="0" collapsed="false">
      <c r="A6" s="30" t="s">
        <v>65</v>
      </c>
      <c r="B6" s="32" t="s">
        <v>72</v>
      </c>
    </row>
    <row r="7" customFormat="false" ht="26.85" hidden="false" customHeight="false" outlineLevel="0" collapsed="false">
      <c r="A7" s="30" t="s">
        <v>73</v>
      </c>
      <c r="B7" s="32" t="s">
        <v>74</v>
      </c>
    </row>
    <row r="8" customFormat="false" ht="26.85" hidden="false" customHeight="false" outlineLevel="0" collapsed="false">
      <c r="A8" s="30" t="s">
        <v>75</v>
      </c>
      <c r="B8" s="32" t="s">
        <v>76</v>
      </c>
    </row>
    <row r="9" customFormat="false" ht="26.85" hidden="false" customHeight="false" outlineLevel="0" collapsed="false">
      <c r="A9" s="30" t="s">
        <v>77</v>
      </c>
      <c r="B9" s="32" t="s">
        <v>78</v>
      </c>
    </row>
    <row r="10" customFormat="false" ht="26.85" hidden="false" customHeight="false" outlineLevel="0" collapsed="false">
      <c r="A10" s="30" t="s">
        <v>79</v>
      </c>
      <c r="B10" s="32" t="s">
        <v>80</v>
      </c>
    </row>
    <row r="11" customFormat="false" ht="26.85" hidden="false" customHeight="false" outlineLevel="0" collapsed="false">
      <c r="A11" s="30" t="s">
        <v>81</v>
      </c>
      <c r="B11" s="32" t="s">
        <v>82</v>
      </c>
    </row>
    <row r="12" customFormat="false" ht="26.85" hidden="false" customHeight="false" outlineLevel="0" collapsed="false">
      <c r="A12" s="30" t="s">
        <v>83</v>
      </c>
      <c r="B12" s="3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2026-10-28T17:42:53Z</dcterms:created>
  <dc:creator>openpyxl</dc:creator>
  <dc:description/>
  <dc:language>en-US</dc:language>
  <cp:lastModifiedBy/>
  <dcterms:modified xsi:type="dcterms:W3CDTF">2026-10-28T17:42:53Z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