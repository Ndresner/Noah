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ealeruplift-my.sharepoint.com/personal/michaelm_dealeruplift_com/Documents/"/>
    </mc:Choice>
  </mc:AlternateContent>
  <xr:revisionPtr revIDLastSave="0" documentId="8_{FC645195-5100-460E-ADDA-831B6A33A1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-g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F23" i="1"/>
</calcChain>
</file>

<file path=xl/sharedStrings.xml><?xml version="1.0" encoding="utf-8"?>
<sst xmlns="http://schemas.openxmlformats.org/spreadsheetml/2006/main" count="64" uniqueCount="44">
  <si>
    <t>Store Name</t>
  </si>
  <si>
    <t>Brand</t>
  </si>
  <si>
    <t>State</t>
  </si>
  <si>
    <t>YTD Revenue Secured</t>
  </si>
  <si>
    <t>Findlay Acura</t>
  </si>
  <si>
    <t>Acura</t>
  </si>
  <si>
    <t>NV</t>
  </si>
  <si>
    <t>Findlay Audi Reno Tahoe</t>
  </si>
  <si>
    <t>Audi</t>
  </si>
  <si>
    <t>Findlay BGMC Prescott</t>
  </si>
  <si>
    <t>GM</t>
  </si>
  <si>
    <t>AZ</t>
  </si>
  <si>
    <t>Findlay Chevrolet</t>
  </si>
  <si>
    <t>Findlay Chrysler Post Falls</t>
  </si>
  <si>
    <t>Chrysler</t>
  </si>
  <si>
    <t>ID</t>
  </si>
  <si>
    <t>Findlay Honda Flagstaff</t>
  </si>
  <si>
    <t>Honda</t>
  </si>
  <si>
    <t>Findlay Honda Henderson</t>
  </si>
  <si>
    <t>Findlay Honda North</t>
  </si>
  <si>
    <t>Findlay Honda Spokane</t>
  </si>
  <si>
    <t>WA</t>
  </si>
  <si>
    <t>Findlay Hyundai Prescott</t>
  </si>
  <si>
    <t>Hyundai</t>
  </si>
  <si>
    <t>Findlay Kia St George</t>
  </si>
  <si>
    <t>Kia</t>
  </si>
  <si>
    <t>UT</t>
  </si>
  <si>
    <t>Findlay Lexus Spokane</t>
  </si>
  <si>
    <t>Lexus</t>
  </si>
  <si>
    <t>Findlay Lincoln</t>
  </si>
  <si>
    <t>Ford</t>
  </si>
  <si>
    <t>Findlay Mazda</t>
  </si>
  <si>
    <t>Mazda</t>
  </si>
  <si>
    <t>Findlay Nissan Henderson</t>
  </si>
  <si>
    <t>Nissan</t>
  </si>
  <si>
    <t>Findlay Subaru Prescott</t>
  </si>
  <si>
    <t>Subaru</t>
  </si>
  <si>
    <t>Land Rover Henderson</t>
  </si>
  <si>
    <t>Land Rover</t>
  </si>
  <si>
    <t>Land Rover Las Vegas</t>
  </si>
  <si>
    <t>Land Rover Reno</t>
  </si>
  <si>
    <t>Labor</t>
  </si>
  <si>
    <t>Parts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</si>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</sst>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4"/>
      <color rgb="FF1F1F1F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4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6"/>
  <sheetViews>
    <sheetView tabSelected="1" workbookViewId="0">
      <selection activeCell="P15" sqref="P15"/>
    </sheetView>
  </sheetViews>
  <sheetFormatPr defaultColWidth="11.42578125" defaultRowHeight="15" x14ac:dyDescent="0.25"/>
  <cols>
    <col min="1" max="1" width="30.42578125" bestFit="1" customWidth="1"/>
    <col min="2" max="2" width="0.140625" customWidth="1"/>
    <col min="3" max="3" width="8.85546875" customWidth="1"/>
    <col min="4" max="4" width="26.28515625" customWidth="1"/>
    <col min="5" max="6" width="15.7109375" bestFit="1" customWidth="1"/>
  </cols>
  <sheetData>
    <row r="1" spans="1:8" ht="18.7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41</v>
      </c>
      <c r="F1" s="4" t="s">
        <v>42</v>
      </c>
      <c r="G1" s="2"/>
      <c r="H1" s="2"/>
    </row>
    <row r="2" spans="1:8" ht="18.75" x14ac:dyDescent="0.3">
      <c r="A2" s="7" t="s">
        <v>4</v>
      </c>
      <c r="B2" s="7" t="s">
        <v>5</v>
      </c>
      <c r="C2" s="7" t="s">
        <v>6</v>
      </c>
      <c r="D2" s="8">
        <v>74952</v>
      </c>
      <c r="E2" s="8">
        <v>74952</v>
      </c>
      <c r="F2" s="8"/>
      <c r="G2" s="2"/>
      <c r="H2" s="2"/>
    </row>
    <row r="3" spans="1:8" ht="18.75" x14ac:dyDescent="0.3">
      <c r="A3" s="7" t="s">
        <v>7</v>
      </c>
      <c r="B3" s="7" t="s">
        <v>8</v>
      </c>
      <c r="C3" s="7" t="s">
        <v>6</v>
      </c>
      <c r="D3" s="8">
        <v>283584</v>
      </c>
      <c r="E3" s="8">
        <v>136824</v>
      </c>
      <c r="F3" s="8">
        <v>146760</v>
      </c>
      <c r="G3" s="2"/>
      <c r="H3" s="2"/>
    </row>
    <row r="4" spans="1:8" ht="18.75" x14ac:dyDescent="0.3">
      <c r="A4" s="7" t="s">
        <v>9</v>
      </c>
      <c r="B4" s="7" t="s">
        <v>10</v>
      </c>
      <c r="C4" s="7" t="s">
        <v>11</v>
      </c>
      <c r="D4" s="8">
        <v>15204</v>
      </c>
      <c r="E4" s="8"/>
      <c r="F4" s="8">
        <v>15204</v>
      </c>
      <c r="G4" s="2"/>
      <c r="H4" s="2"/>
    </row>
    <row r="5" spans="1:8" ht="18.75" x14ac:dyDescent="0.3">
      <c r="A5" s="7" t="s">
        <v>12</v>
      </c>
      <c r="B5" s="7" t="s">
        <v>10</v>
      </c>
      <c r="C5" s="7" t="s">
        <v>6</v>
      </c>
      <c r="D5" s="8">
        <v>797928</v>
      </c>
      <c r="E5" s="8">
        <v>419904</v>
      </c>
      <c r="F5" s="8">
        <v>378024</v>
      </c>
      <c r="G5" s="2"/>
      <c r="H5" s="2"/>
    </row>
    <row r="6" spans="1:8" ht="18.75" x14ac:dyDescent="0.3">
      <c r="A6" s="7" t="s">
        <v>13</v>
      </c>
      <c r="B6" s="7" t="s">
        <v>14</v>
      </c>
      <c r="C6" s="7" t="s">
        <v>15</v>
      </c>
      <c r="D6" s="8">
        <v>61536</v>
      </c>
      <c r="E6" s="8"/>
      <c r="F6" s="8">
        <v>61536</v>
      </c>
      <c r="G6" s="2"/>
      <c r="H6" s="2"/>
    </row>
    <row r="7" spans="1:8" ht="18.75" x14ac:dyDescent="0.3">
      <c r="A7" s="7" t="s">
        <v>16</v>
      </c>
      <c r="B7" s="7" t="s">
        <v>17</v>
      </c>
      <c r="C7" s="7" t="s">
        <v>11</v>
      </c>
      <c r="D7" s="8">
        <v>5340</v>
      </c>
      <c r="E7" s="8"/>
      <c r="F7" s="8">
        <v>5340</v>
      </c>
      <c r="G7" s="2"/>
      <c r="H7" s="2"/>
    </row>
    <row r="8" spans="1:8" ht="18.75" x14ac:dyDescent="0.3">
      <c r="A8" s="7" t="s">
        <v>18</v>
      </c>
      <c r="B8" s="7" t="s">
        <v>17</v>
      </c>
      <c r="C8" s="7" t="s">
        <v>6</v>
      </c>
      <c r="D8" s="8">
        <v>96264</v>
      </c>
      <c r="E8" s="8"/>
      <c r="F8" s="8">
        <v>96264</v>
      </c>
      <c r="G8" s="2"/>
      <c r="H8" s="2"/>
    </row>
    <row r="9" spans="1:8" ht="18.75" x14ac:dyDescent="0.3">
      <c r="A9" s="7" t="s">
        <v>19</v>
      </c>
      <c r="B9" s="7" t="s">
        <v>17</v>
      </c>
      <c r="C9" s="7" t="s">
        <v>6</v>
      </c>
      <c r="D9" s="8">
        <v>463296</v>
      </c>
      <c r="E9" s="8">
        <v>142960</v>
      </c>
      <c r="F9" s="8">
        <v>320436</v>
      </c>
      <c r="G9" s="2"/>
      <c r="H9" s="3"/>
    </row>
    <row r="10" spans="1:8" ht="18.75" x14ac:dyDescent="0.3">
      <c r="A10" s="7" t="s">
        <v>20</v>
      </c>
      <c r="B10" s="7" t="s">
        <v>17</v>
      </c>
      <c r="C10" s="7" t="s">
        <v>21</v>
      </c>
      <c r="D10" s="8">
        <v>94620</v>
      </c>
      <c r="E10" s="8">
        <v>63852</v>
      </c>
      <c r="F10" s="8">
        <v>30768</v>
      </c>
      <c r="G10" s="2"/>
      <c r="H10" s="2"/>
    </row>
    <row r="11" spans="1:8" ht="18.75" x14ac:dyDescent="0.3">
      <c r="A11" s="7" t="s">
        <v>22</v>
      </c>
      <c r="B11" s="7" t="s">
        <v>23</v>
      </c>
      <c r="C11" s="7" t="s">
        <v>11</v>
      </c>
      <c r="D11" s="8">
        <v>35304</v>
      </c>
      <c r="E11" s="8">
        <v>35304</v>
      </c>
      <c r="F11" s="8"/>
      <c r="G11" s="2"/>
      <c r="H11" s="2"/>
    </row>
    <row r="12" spans="1:8" ht="18.75" x14ac:dyDescent="0.3">
      <c r="A12" s="7" t="s">
        <v>24</v>
      </c>
      <c r="B12" s="7" t="s">
        <v>25</v>
      </c>
      <c r="C12" s="7" t="s">
        <v>26</v>
      </c>
      <c r="D12" s="8">
        <v>209268</v>
      </c>
      <c r="E12" s="8">
        <v>46440</v>
      </c>
      <c r="F12" s="8">
        <v>162828</v>
      </c>
      <c r="G12" s="2"/>
      <c r="H12" s="2"/>
    </row>
    <row r="13" spans="1:8" ht="18.75" x14ac:dyDescent="0.3">
      <c r="A13" s="7" t="s">
        <v>27</v>
      </c>
      <c r="B13" s="7" t="s">
        <v>28</v>
      </c>
      <c r="C13" s="7" t="s">
        <v>21</v>
      </c>
      <c r="D13" s="8">
        <v>225360</v>
      </c>
      <c r="E13" s="8">
        <v>127560</v>
      </c>
      <c r="F13" s="8">
        <v>97800</v>
      </c>
      <c r="G13" s="2"/>
      <c r="H13" s="2"/>
    </row>
    <row r="14" spans="1:8" ht="18.75" x14ac:dyDescent="0.3">
      <c r="A14" s="7" t="s">
        <v>29</v>
      </c>
      <c r="B14" s="7" t="s">
        <v>30</v>
      </c>
      <c r="C14" s="7" t="s">
        <v>6</v>
      </c>
      <c r="D14" s="8">
        <v>292056</v>
      </c>
      <c r="E14" s="8">
        <v>165000</v>
      </c>
      <c r="F14" s="8">
        <v>127056</v>
      </c>
      <c r="G14" s="2"/>
      <c r="H14" s="2"/>
    </row>
    <row r="15" spans="1:8" ht="18.75" x14ac:dyDescent="0.3">
      <c r="A15" s="7" t="s">
        <v>31</v>
      </c>
      <c r="B15" s="7" t="s">
        <v>32</v>
      </c>
      <c r="C15" s="7" t="s">
        <v>6</v>
      </c>
      <c r="D15" s="8">
        <v>133692</v>
      </c>
      <c r="E15" s="8"/>
      <c r="F15" s="8">
        <v>133692</v>
      </c>
      <c r="G15" s="2"/>
      <c r="H15" s="2"/>
    </row>
    <row r="16" spans="1:8" ht="18.75" x14ac:dyDescent="0.3">
      <c r="A16" s="7" t="s">
        <v>33</v>
      </c>
      <c r="B16" s="7" t="s">
        <v>34</v>
      </c>
      <c r="C16" s="7" t="s">
        <v>6</v>
      </c>
      <c r="D16" s="8">
        <v>325752</v>
      </c>
      <c r="E16" s="8">
        <v>206340</v>
      </c>
      <c r="F16" s="8">
        <v>119412</v>
      </c>
      <c r="G16" s="2"/>
      <c r="H16" s="2"/>
    </row>
    <row r="17" spans="1:8" ht="18.75" x14ac:dyDescent="0.3">
      <c r="A17" s="7" t="s">
        <v>35</v>
      </c>
      <c r="B17" s="7" t="s">
        <v>36</v>
      </c>
      <c r="C17" s="7" t="s">
        <v>11</v>
      </c>
      <c r="D17" s="8">
        <v>90672</v>
      </c>
      <c r="E17" s="8">
        <v>37212</v>
      </c>
      <c r="F17" s="8">
        <v>53460</v>
      </c>
      <c r="G17" s="2"/>
      <c r="H17" s="2"/>
    </row>
    <row r="18" spans="1:8" ht="18.75" x14ac:dyDescent="0.3">
      <c r="A18" s="7" t="s">
        <v>37</v>
      </c>
      <c r="B18" s="7" t="s">
        <v>38</v>
      </c>
      <c r="C18" s="7" t="s">
        <v>6</v>
      </c>
      <c r="D18" s="8">
        <v>146088</v>
      </c>
      <c r="E18" s="8">
        <v>49068</v>
      </c>
      <c r="F18" s="8">
        <v>97020</v>
      </c>
      <c r="G18" s="2"/>
      <c r="H18" s="2"/>
    </row>
    <row r="19" spans="1:8" ht="18.75" x14ac:dyDescent="0.3">
      <c r="A19" s="7" t="s">
        <v>39</v>
      </c>
      <c r="B19" s="7" t="s">
        <v>38</v>
      </c>
      <c r="C19" s="7" t="s">
        <v>6</v>
      </c>
      <c r="D19" s="8">
        <v>343968</v>
      </c>
      <c r="E19" s="8">
        <v>123204</v>
      </c>
      <c r="F19" s="8">
        <v>220764</v>
      </c>
      <c r="G19" s="2"/>
      <c r="H19" s="2"/>
    </row>
    <row r="20" spans="1:8" ht="18.75" x14ac:dyDescent="0.3">
      <c r="A20" s="7" t="s">
        <v>40</v>
      </c>
      <c r="B20" s="7" t="s">
        <v>38</v>
      </c>
      <c r="C20" s="7" t="s">
        <v>6</v>
      </c>
      <c r="D20" s="8">
        <v>93216</v>
      </c>
      <c r="E20" s="8">
        <v>32748</v>
      </c>
      <c r="F20" s="8">
        <v>60468</v>
      </c>
      <c r="G20" s="2"/>
      <c r="H20" s="2"/>
    </row>
    <row r="21" spans="1:8" ht="18.75" x14ac:dyDescent="0.3">
      <c r="A21" s="7"/>
      <c r="B21" s="7"/>
      <c r="C21" s="7"/>
      <c r="D21" s="7"/>
      <c r="E21" s="7"/>
      <c r="F21" s="9"/>
      <c r="G21" s="2"/>
      <c r="H21" s="2"/>
    </row>
    <row r="22" spans="1:8" x14ac:dyDescent="0.25">
      <c r="A22" s="10"/>
      <c r="B22" s="10"/>
      <c r="C22" s="10"/>
      <c r="D22" s="10"/>
      <c r="E22" s="10"/>
      <c r="F22" s="11"/>
    </row>
    <row r="23" spans="1:8" ht="15.75" x14ac:dyDescent="0.25">
      <c r="A23" s="10" t="s">
        <v>43</v>
      </c>
      <c r="B23" s="10"/>
      <c r="C23" s="10"/>
      <c r="D23" s="12">
        <f>SUM(D2:D22)</f>
        <v>3788100</v>
      </c>
      <c r="E23" s="12">
        <f>SUM(E2:E22)</f>
        <v>1661368</v>
      </c>
      <c r="F23" s="13">
        <f>SUM(F2:F22)</f>
        <v>2126832</v>
      </c>
    </row>
    <row r="24" spans="1:8" x14ac:dyDescent="0.25">
      <c r="A24" s="5"/>
      <c r="B24" s="5"/>
      <c r="C24" s="5"/>
      <c r="D24" s="5"/>
      <c r="E24" s="5"/>
      <c r="F24" s="6"/>
    </row>
    <row r="25" spans="1:8" x14ac:dyDescent="0.25">
      <c r="A25" s="1"/>
      <c r="B25" s="1"/>
      <c r="C25" s="1"/>
      <c r="D25" s="1"/>
      <c r="E25" s="1"/>
    </row>
    <row r="26" spans="1:8" x14ac:dyDescent="0.25">
      <c r="A26" s="1"/>
      <c r="B26" s="1"/>
      <c r="C26" s="1"/>
      <c r="D26" s="1"/>
      <c r="E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Michael McGuire</cp:lastModifiedBy>
  <dcterms:created xsi:type="dcterms:W3CDTF">2026-10-21T19:41:19Z</dcterms:created>
  <dcterms:modified xsi:type="dcterms:W3CDTF">2026-10-21T21:33:25Z</dcterms:modified>
</cp:coreProperties>
</file>