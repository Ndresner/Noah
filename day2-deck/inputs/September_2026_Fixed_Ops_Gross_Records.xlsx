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ptember 2026 vs Records" sheetId="1" state="visible" r:id="rId3"/>
    <sheet name="Data" sheetId="2" state="visible" r:id="rId4"/>
    <sheet name="All-Time Records" sheetId="3" state="visible" r:id="rId5"/>
    <sheet name="Methodolog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<sst xmlns="http://schemas.openxmlformats.org/spreadsheetml/2006/main" count="4565" uniqueCount="83">
  <si>
    <t xml:space="preserve">FINDLAY AUTOMOTIVE GROUP — SEPTEMBER 2026 FIXED OPS GROSS vs ALL-TIME RECORDS</t>
  </si>
  <si>
    <t xml:space="preserve">Source: Qlik Fixed Ops - Accting TB (Family=FIXED GROSS), pulled Oct 8, 2026. History: Jan 2021 – Sep 2026. Rank = all-time rank of the September 2026 month for that store. Sorted by September 2026 combined gross.</t>
  </si>
  <si>
    <t xml:space="preserve">SERVICE</t>
  </si>
  <si>
    <t xml:space="preserve">PARTS</t>
  </si>
  <si>
    <t xml:space="preserve">SERVICE + PARTS</t>
  </si>
  <si>
    <t xml:space="preserve">Store</t>
  </si>
  <si>
    <t xml:space="preserve">Sep 2026 ($)</t>
  </si>
  <si>
    <t xml:space="preserve">Rank</t>
  </si>
  <si>
    <t xml:space="preserve">Record ($)</t>
  </si>
  <si>
    <t xml:space="preserve">TOYOTA HENDERSON FTH-10</t>
  </si>
  <si>
    <t xml:space="preserve">CHEVY LV FCLV-17</t>
  </si>
  <si>
    <t xml:space="preserve">HONDA HENDERSON SFH-1</t>
  </si>
  <si>
    <t xml:space="preserve">AUDI HENDERSON FAH-18</t>
  </si>
  <si>
    <t xml:space="preserve">SUBARU LV SLV-16</t>
  </si>
  <si>
    <t xml:space="preserve">HONDA NORTH FH-4</t>
  </si>
  <si>
    <t xml:space="preserve">CADILLAC CAD-9</t>
  </si>
  <si>
    <t xml:space="preserve">KIA LV FKLV-21</t>
  </si>
  <si>
    <t xml:space="preserve">LR LV LRLV-3</t>
  </si>
  <si>
    <t xml:space="preserve">TOYOTA SPOKANE FTS-43</t>
  </si>
  <si>
    <t xml:space="preserve">NISSAN NIH-45</t>
  </si>
  <si>
    <t xml:space="preserve">TOYOTA PRESCOTT FTP-35</t>
  </si>
  <si>
    <t xml:space="preserve">MAZDA MZH-41</t>
  </si>
  <si>
    <t xml:space="preserve">TOYOTA FLAGSTAFF FTF-19</t>
  </si>
  <si>
    <t xml:space="preserve">VW HENDERSON FVWH-12</t>
  </si>
  <si>
    <t xml:space="preserve">CHEVY GMC FMC-8</t>
  </si>
  <si>
    <t xml:space="preserve">HONDA SPOKANE FHS-46</t>
  </si>
  <si>
    <t xml:space="preserve">LEXUS FLS-44</t>
  </si>
  <si>
    <t xml:space="preserve">AUDI RENO FAR-28</t>
  </si>
  <si>
    <t xml:space="preserve">LR HENDERSON JLRH-42</t>
  </si>
  <si>
    <t xml:space="preserve">VOLVO VCLV-38</t>
  </si>
  <si>
    <t xml:space="preserve">CDJR POST FALLS CPF-32</t>
  </si>
  <si>
    <t xml:space="preserve">SUBARU ST GEORGE SGG-39</t>
  </si>
  <si>
    <t xml:space="preserve">LINCOLN SLM-15</t>
  </si>
  <si>
    <t xml:space="preserve">SUBARU PRESCOTT SUP-36</t>
  </si>
  <si>
    <t xml:space="preserve">ACURA FA-5</t>
  </si>
  <si>
    <t xml:space="preserve">KIA ST GEORGE FKSG-25</t>
  </si>
  <si>
    <t xml:space="preserve">HYUNDAI ST GEORGE FHSG-22</t>
  </si>
  <si>
    <t xml:space="preserve">BUICK GMC GMP-34</t>
  </si>
  <si>
    <t xml:space="preserve">LR RENO LRR-31</t>
  </si>
  <si>
    <t xml:space="preserve">HONDA FLAGSTAFF FHF-26</t>
  </si>
  <si>
    <t xml:space="preserve">HYUNDAI PRESCOTT HYP-37</t>
  </si>
  <si>
    <t xml:space="preserve">VW ST GEORGE FVWSG-23</t>
  </si>
  <si>
    <t xml:space="preserve">INEOS FIG-47</t>
  </si>
  <si>
    <t xml:space="preserve">GROUP TOTAL</t>
  </si>
  <si>
    <t xml:space="preserve">Year</t>
  </si>
  <si>
    <t xml:space="preserve">MonthNum</t>
  </si>
  <si>
    <t xml:space="preserve">Month</t>
  </si>
  <si>
    <t xml:space="preserve">Service</t>
  </si>
  <si>
    <t xml:space="preserve">Parts</t>
  </si>
  <si>
    <t xml:space="preserve">Total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</si>
  <si>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</si>
  <si>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</si>
  <si>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</si>
  <si>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</si>
  <si>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</si>
  <si>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</si>
  <si>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</si>
  <si>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</si>
  <si>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</si>
  <si>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</si>
  <si>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</si>
  <si>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</si>
  <si>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FINDLAY AUTOMOTIVE GROUP — FIXED OPS GROSS PROFIT RECORDS (ALL-TIME MONTHLY, 2021–SEP 2026)</t>
  </si>
  <si>
    <t xml:space="preserve">Service Record ($)</t>
  </si>
  <si>
    <t xml:space="preserve">Svc Month</t>
  </si>
  <si>
    <t xml:space="preserve">Parts Record ($)</t>
  </si>
  <si>
    <t xml:space="preserve">Pts Month</t>
  </si>
  <si>
    <t xml:space="preserve">Svc+Pts Record ($)</t>
  </si>
  <si>
    <t xml:space="preserve">Total Month</t>
  </si>
  <si>
    <t xml:space="preserve">FIXED OPS GROSS PROFIT RECORDS — METHODOLOGY</t>
  </si>
  <si>
    <t xml:space="preserve">Source: Qlik Cloud, app "Fixed Ops - Accting TB" (Fixed space, e077f027-fc9f-4f03-adf3-14ce059d8b3c), pulled 2026-10-08.</t>
  </si>
  <si>
    <t xml:space="preserve">Measure convention (matches app master measures):</t>
  </si>
  <si>
    <t xml:space="preserve">  Service gross = Sum({&lt;Family={'FIXED GROSS'}, Class={'SERVICE'}&gt;} [Mon]_MTD_Amt * -1)</t>
  </si>
  <si>
    <t xml:space="preserve">  Parts gross   = Sum({&lt;Family={'FIXED GROSS'}, Class={'PARTS'}&gt;}   [Mon]_MTD_Amt * -1)</t>
  </si>
  <si>
    <t xml:space="preserve">  Service + Parts = sum of the two for the same store-month. Body Shop is excluded.</t>
  </si>
  <si>
    <t xml:space="preserve">History window: Jan 2021 through Sep 2026 (all complete months in the app).</t>
  </si>
  <si>
    <t xml:space="preserve">Oct 2026 excluded as partial (in progress at pull time).</t>
  </si>
  <si>
    <t xml:space="preserve">2026 figures reflect the Oct 8 re-pull of Jan–Sep 2026. Jan–Jun and Aug 2026 were unchanged; seven July 2026 store-months carried post-close adjustments (largest: Honda Flagstaff Service -$6,841; Kia LV $5.2K Service-to-Parts reclass) and are updated in the Data tab.</t>
  </si>
  <si>
    <t xml:space="preserve">Rank = 1 + count of store-months with a strictly greater value for that store (rank 1 = all-time record).</t>
  </si>
  <si>
    <t xml:space="preserve">All values on the report tabs are live formulas (SUMIFS / COUNTIFS / SUMPRODUCT) against the Data tab.</t>
  </si>
  <si>
    <t xml:space="preserve">Green highlight = new all-time record set in September 2026 (static formatting, snapshot as of pull date).</t>
  </si>
  <si>
    <t xml:space="preserve">Data note: June 2024 is depressed across all stores (CDK outage). Does not affect record maxima.</t>
  </si>
  <si>
    <t xml:space="preserve">New stores enter history at opening: Honda Spokane (Aug 2024), Nissan Henderson (Nov 2023), LR Henderson (Jul 2021), Hyundai Prescott (Mar 2022), Ineos (Nov 2025).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</si>
</sst>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5" min="4" style="0" width="13"/>
    <col collapsed="false" customWidth="true" hidden="false" outlineLevel="0" max="6" min="6" style="0" width="7"/>
    <col collapsed="false" customWidth="true" hidden="false" outlineLevel="0" max="8" min="7" style="0" width="13"/>
    <col collapsed="false" customWidth="true" hidden="false" outlineLevel="0" max="9" min="9" style="0" width="7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2</v>
      </c>
      <c r="C3" s="3"/>
      <c r="D3" s="3"/>
      <c r="E3" s="3" t="s">
        <v>3</v>
      </c>
      <c r="F3" s="3"/>
      <c r="G3" s="3"/>
      <c r="H3" s="3" t="s">
        <v>4</v>
      </c>
      <c r="I3" s="3"/>
      <c r="J3" s="3"/>
    </row>
    <row r="4" customFormat="false" ht="15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8</v>
      </c>
      <c r="E4" s="4" t="s">
        <v>6</v>
      </c>
      <c r="F4" s="4" t="s">
        <v>7</v>
      </c>
      <c r="G4" s="4" t="s">
        <v>8</v>
      </c>
      <c r="H4" s="4" t="s">
        <v>6</v>
      </c>
      <c r="I4" s="4" t="s">
        <v>7</v>
      </c>
      <c r="J4" s="4" t="s">
        <v>8</v>
      </c>
    </row>
    <row r="5" customFormat="false" ht="15" hidden="false" customHeight="false" outlineLevel="0" collapsed="false">
      <c r="A5" s="5" t="s">
        <v>9</v>
      </c>
      <c r="B5" s="6" t="n">
        <f aca="false">SUMIFS(Data!$E$2:$E$2227,Data!$A$2:$A$2227,$A5,Data!$B$2:$B$2227,2026,Data!$C$2:$C$2227,9)</f>
        <v>1870796.17</v>
      </c>
      <c r="C5" s="7" t="n">
        <f aca="false">COUNTIFS(Data!$A$2:$A$2227,$A5,Data!$E$2:$E$2227,"&gt;"&amp;B5)+1</f>
        <v>3</v>
      </c>
      <c r="D5" s="6" t="n">
        <f aca="false">SUMPRODUCT(MAX((Data!$A$2:$A$2227=$A5)*Data!$E$2:$E$2227))</f>
        <v>1975411.6</v>
      </c>
      <c r="E5" s="8" t="n">
        <f aca="false">SUMIFS(Data!$F$2:$F$2227,Data!$A$2:$A$2227,$A5,Data!$B$2:$B$2227,2026,Data!$C$2:$C$2227,9)</f>
        <v>803123.01</v>
      </c>
      <c r="F5" s="9" t="n">
        <f aca="false">COUNTIFS(Data!$A$2:$A$2227,$A5,Data!$F$2:$F$2227,"&gt;"&amp;E5)+1</f>
        <v>1</v>
      </c>
      <c r="G5" s="6" t="n">
        <f aca="false">SUMPRODUCT(MAX((Data!$A$2:$A$2227=$A5)*Data!$F$2:$F$2227))</f>
        <v>803123.01</v>
      </c>
      <c r="H5" s="6" t="n">
        <f aca="false">SUMIFS(Data!$G$2:$G$2227,Data!$A$2:$A$2227,$A5,Data!$B$2:$B$2227,2026,Data!$C$2:$C$2227,9)</f>
        <v>2673919.18</v>
      </c>
      <c r="I5" s="7" t="n">
        <f aca="false">COUNTIFS(Data!$A$2:$A$2227,$A5,Data!$G$2:$G$2227,"&gt;"&amp;H5)+1</f>
        <v>3</v>
      </c>
      <c r="J5" s="6" t="n">
        <f aca="false">SUMPRODUCT(MAX((Data!$A$2:$A$2227=$A5)*Data!$G$2:$G$2227))</f>
        <v>2716915.58</v>
      </c>
    </row>
    <row r="6" customFormat="false" ht="15" hidden="false" customHeight="false" outlineLevel="0" collapsed="false">
      <c r="A6" s="5" t="s">
        <v>10</v>
      </c>
      <c r="B6" s="6" t="n">
        <f aca="false">SUMIFS(Data!$E$2:$E$2227,Data!$A$2:$A$2227,$A6,Data!$B$2:$B$2227,2026,Data!$C$2:$C$2227,9)</f>
        <v>1003182.96</v>
      </c>
      <c r="C6" s="7" t="n">
        <f aca="false">COUNTIFS(Data!$A$2:$A$2227,$A6,Data!$E$2:$E$2227,"&gt;"&amp;B6)+1</f>
        <v>33</v>
      </c>
      <c r="D6" s="6" t="n">
        <f aca="false">SUMPRODUCT(MAX((Data!$A$2:$A$2227=$A6)*Data!$E$2:$E$2227))</f>
        <v>1317663.59</v>
      </c>
      <c r="E6" s="6" t="n">
        <f aca="false">SUMIFS(Data!$F$2:$F$2227,Data!$A$2:$A$2227,$A6,Data!$B$2:$B$2227,2026,Data!$C$2:$C$2227,9)</f>
        <v>667009.88</v>
      </c>
      <c r="F6" s="7" t="n">
        <f aca="false">COUNTIFS(Data!$A$2:$A$2227,$A6,Data!$F$2:$F$2227,"&gt;"&amp;E6)+1</f>
        <v>18</v>
      </c>
      <c r="G6" s="6" t="n">
        <f aca="false">SUMPRODUCT(MAX((Data!$A$2:$A$2227=$A6)*Data!$F$2:$F$2227))</f>
        <v>835344.78</v>
      </c>
      <c r="H6" s="6" t="n">
        <f aca="false">SUMIFS(Data!$G$2:$G$2227,Data!$A$2:$A$2227,$A6,Data!$B$2:$B$2227,2026,Data!$C$2:$C$2227,9)</f>
        <v>1670192.84</v>
      </c>
      <c r="I6" s="7" t="n">
        <f aca="false">COUNTIFS(Data!$A$2:$A$2227,$A6,Data!$G$2:$G$2227,"&gt;"&amp;H6)+1</f>
        <v>33</v>
      </c>
      <c r="J6" s="6" t="n">
        <f aca="false">SUMPRODUCT(MAX((Data!$A$2:$A$2227=$A6)*Data!$G$2:$G$2227))</f>
        <v>2076530.97</v>
      </c>
    </row>
    <row r="7" customFormat="false" ht="15" hidden="false" customHeight="false" outlineLevel="0" collapsed="false">
      <c r="A7" s="5" t="s">
        <v>11</v>
      </c>
      <c r="B7" s="6" t="n">
        <f aca="false">SUMIFS(Data!$E$2:$E$2227,Data!$A$2:$A$2227,$A7,Data!$B$2:$B$2227,2026,Data!$C$2:$C$2227,9)</f>
        <v>1111952.14</v>
      </c>
      <c r="C7" s="7" t="n">
        <f aca="false">COUNTIFS(Data!$A$2:$A$2227,$A7,Data!$E$2:$E$2227,"&gt;"&amp;B7)+1</f>
        <v>18</v>
      </c>
      <c r="D7" s="6" t="n">
        <f aca="false">SUMPRODUCT(MAX((Data!$A$2:$A$2227=$A7)*Data!$E$2:$E$2227))</f>
        <v>1295926.82</v>
      </c>
      <c r="E7" s="6" t="n">
        <f aca="false">SUMIFS(Data!$F$2:$F$2227,Data!$A$2:$A$2227,$A7,Data!$B$2:$B$2227,2026,Data!$C$2:$C$2227,9)</f>
        <v>434841.68</v>
      </c>
      <c r="F7" s="7" t="n">
        <f aca="false">COUNTIFS(Data!$A$2:$A$2227,$A7,Data!$F$2:$F$2227,"&gt;"&amp;E7)+1</f>
        <v>13</v>
      </c>
      <c r="G7" s="6" t="n">
        <f aca="false">SUMPRODUCT(MAX((Data!$A$2:$A$2227=$A7)*Data!$F$2:$F$2227))</f>
        <v>495404.7</v>
      </c>
      <c r="H7" s="6" t="n">
        <f aca="false">SUMIFS(Data!$G$2:$G$2227,Data!$A$2:$A$2227,$A7,Data!$B$2:$B$2227,2026,Data!$C$2:$C$2227,9)</f>
        <v>1546793.82</v>
      </c>
      <c r="I7" s="7" t="n">
        <f aca="false">COUNTIFS(Data!$A$2:$A$2227,$A7,Data!$G$2:$G$2227,"&gt;"&amp;H7)+1</f>
        <v>17</v>
      </c>
      <c r="J7" s="6" t="n">
        <f aca="false">SUMPRODUCT(MAX((Data!$A$2:$A$2227=$A7)*Data!$G$2:$G$2227))</f>
        <v>1791331.52</v>
      </c>
    </row>
    <row r="8" customFormat="false" ht="15" hidden="false" customHeight="false" outlineLevel="0" collapsed="false">
      <c r="A8" s="5" t="s">
        <v>12</v>
      </c>
      <c r="B8" s="6" t="n">
        <f aca="false">SUMIFS(Data!$E$2:$E$2227,Data!$A$2:$A$2227,$A8,Data!$B$2:$B$2227,2026,Data!$C$2:$C$2227,9)</f>
        <v>927224.16</v>
      </c>
      <c r="C8" s="7" t="n">
        <f aca="false">COUNTIFS(Data!$A$2:$A$2227,$A8,Data!$E$2:$E$2227,"&gt;"&amp;B8)+1</f>
        <v>8</v>
      </c>
      <c r="D8" s="6" t="n">
        <f aca="false">SUMPRODUCT(MAX((Data!$A$2:$A$2227=$A8)*Data!$E$2:$E$2227))</f>
        <v>1078560.8</v>
      </c>
      <c r="E8" s="6" t="n">
        <f aca="false">SUMIFS(Data!$F$2:$F$2227,Data!$A$2:$A$2227,$A8,Data!$B$2:$B$2227,2026,Data!$C$2:$C$2227,9)</f>
        <v>460969.91</v>
      </c>
      <c r="F8" s="7" t="n">
        <f aca="false">COUNTIFS(Data!$A$2:$A$2227,$A8,Data!$F$2:$F$2227,"&gt;"&amp;E8)+1</f>
        <v>3</v>
      </c>
      <c r="G8" s="6" t="n">
        <f aca="false">SUMPRODUCT(MAX((Data!$A$2:$A$2227=$A8)*Data!$F$2:$F$2227))</f>
        <v>591001.29</v>
      </c>
      <c r="H8" s="6" t="n">
        <f aca="false">SUMIFS(Data!$G$2:$G$2227,Data!$A$2:$A$2227,$A8,Data!$B$2:$B$2227,2026,Data!$C$2:$C$2227,9)</f>
        <v>1388194.07</v>
      </c>
      <c r="I8" s="7" t="n">
        <f aca="false">COUNTIFS(Data!$A$2:$A$2227,$A8,Data!$G$2:$G$2227,"&gt;"&amp;H8)+1</f>
        <v>4</v>
      </c>
      <c r="J8" s="6" t="n">
        <f aca="false">SUMPRODUCT(MAX((Data!$A$2:$A$2227=$A8)*Data!$G$2:$G$2227))</f>
        <v>1604751.22</v>
      </c>
    </row>
    <row r="9" customFormat="false" ht="15" hidden="false" customHeight="false" outlineLevel="0" collapsed="false">
      <c r="A9" s="5" t="s">
        <v>13</v>
      </c>
      <c r="B9" s="6" t="n">
        <f aca="false">SUMIFS(Data!$E$2:$E$2227,Data!$A$2:$A$2227,$A9,Data!$B$2:$B$2227,2026,Data!$C$2:$C$2227,9)</f>
        <v>679418.9</v>
      </c>
      <c r="C9" s="7" t="n">
        <f aca="false">COUNTIFS(Data!$A$2:$A$2227,$A9,Data!$E$2:$E$2227,"&gt;"&amp;B9)+1</f>
        <v>20</v>
      </c>
      <c r="D9" s="6" t="n">
        <f aca="false">SUMPRODUCT(MAX((Data!$A$2:$A$2227=$A9)*Data!$E$2:$E$2227))</f>
        <v>783630.02</v>
      </c>
      <c r="E9" s="6" t="n">
        <f aca="false">SUMIFS(Data!$F$2:$F$2227,Data!$A$2:$A$2227,$A9,Data!$B$2:$B$2227,2026,Data!$C$2:$C$2227,9)</f>
        <v>391170.44</v>
      </c>
      <c r="F9" s="7" t="n">
        <f aca="false">COUNTIFS(Data!$A$2:$A$2227,$A9,Data!$F$2:$F$2227,"&gt;"&amp;E9)+1</f>
        <v>42</v>
      </c>
      <c r="G9" s="6" t="n">
        <f aca="false">SUMPRODUCT(MAX((Data!$A$2:$A$2227=$A9)*Data!$F$2:$F$2227))</f>
        <v>591204.67</v>
      </c>
      <c r="H9" s="6" t="n">
        <f aca="false">SUMIFS(Data!$G$2:$G$2227,Data!$A$2:$A$2227,$A9,Data!$B$2:$B$2227,2026,Data!$C$2:$C$2227,9)</f>
        <v>1070589.34</v>
      </c>
      <c r="I9" s="7" t="n">
        <f aca="false">COUNTIFS(Data!$A$2:$A$2227,$A9,Data!$G$2:$G$2227,"&gt;"&amp;H9)+1</f>
        <v>28</v>
      </c>
      <c r="J9" s="6" t="n">
        <f aca="false">SUMPRODUCT(MAX((Data!$A$2:$A$2227=$A9)*Data!$G$2:$G$2227))</f>
        <v>1286777.85</v>
      </c>
    </row>
    <row r="10" customFormat="false" ht="15" hidden="false" customHeight="false" outlineLevel="0" collapsed="false">
      <c r="A10" s="5" t="s">
        <v>14</v>
      </c>
      <c r="B10" s="6" t="n">
        <f aca="false">SUMIFS(Data!$E$2:$E$2227,Data!$A$2:$A$2227,$A10,Data!$B$2:$B$2227,2026,Data!$C$2:$C$2227,9)</f>
        <v>711304</v>
      </c>
      <c r="C10" s="7" t="n">
        <f aca="false">COUNTIFS(Data!$A$2:$A$2227,$A10,Data!$E$2:$E$2227,"&gt;"&amp;B10)+1</f>
        <v>9</v>
      </c>
      <c r="D10" s="6" t="n">
        <f aca="false">SUMPRODUCT(MAX((Data!$A$2:$A$2227=$A10)*Data!$E$2:$E$2227))</f>
        <v>806776.87</v>
      </c>
      <c r="E10" s="6" t="n">
        <f aca="false">SUMIFS(Data!$F$2:$F$2227,Data!$A$2:$A$2227,$A10,Data!$B$2:$B$2227,2026,Data!$C$2:$C$2227,9)</f>
        <v>351620.72</v>
      </c>
      <c r="F10" s="7" t="n">
        <f aca="false">COUNTIFS(Data!$A$2:$A$2227,$A10,Data!$F$2:$F$2227,"&gt;"&amp;E10)+1</f>
        <v>3</v>
      </c>
      <c r="G10" s="6" t="n">
        <f aca="false">SUMPRODUCT(MAX((Data!$A$2:$A$2227=$A10)*Data!$F$2:$F$2227))</f>
        <v>359373.55</v>
      </c>
      <c r="H10" s="6" t="n">
        <f aca="false">SUMIFS(Data!$G$2:$G$2227,Data!$A$2:$A$2227,$A10,Data!$B$2:$B$2227,2026,Data!$C$2:$C$2227,9)</f>
        <v>1062924.72</v>
      </c>
      <c r="I10" s="7" t="n">
        <f aca="false">COUNTIFS(Data!$A$2:$A$2227,$A10,Data!$G$2:$G$2227,"&gt;"&amp;H10)+1</f>
        <v>6</v>
      </c>
      <c r="J10" s="6" t="n">
        <f aca="false">SUMPRODUCT(MAX((Data!$A$2:$A$2227=$A10)*Data!$G$2:$G$2227))</f>
        <v>1152022.09</v>
      </c>
    </row>
    <row r="11" customFormat="false" ht="15" hidden="false" customHeight="false" outlineLevel="0" collapsed="false">
      <c r="A11" s="5" t="s">
        <v>15</v>
      </c>
      <c r="B11" s="6" t="n">
        <f aca="false">SUMIFS(Data!$E$2:$E$2227,Data!$A$2:$A$2227,$A11,Data!$B$2:$B$2227,2026,Data!$C$2:$C$2227,9)</f>
        <v>680943.6</v>
      </c>
      <c r="C11" s="7" t="n">
        <f aca="false">COUNTIFS(Data!$A$2:$A$2227,$A11,Data!$E$2:$E$2227,"&gt;"&amp;B11)+1</f>
        <v>22</v>
      </c>
      <c r="D11" s="6" t="n">
        <f aca="false">SUMPRODUCT(MAX((Data!$A$2:$A$2227=$A11)*Data!$E$2:$E$2227))</f>
        <v>832147</v>
      </c>
      <c r="E11" s="6" t="n">
        <f aca="false">SUMIFS(Data!$F$2:$F$2227,Data!$A$2:$A$2227,$A11,Data!$B$2:$B$2227,2026,Data!$C$2:$C$2227,9)</f>
        <v>345080.68</v>
      </c>
      <c r="F11" s="7" t="n">
        <f aca="false">COUNTIFS(Data!$A$2:$A$2227,$A11,Data!$F$2:$F$2227,"&gt;"&amp;E11)+1</f>
        <v>5</v>
      </c>
      <c r="G11" s="6" t="n">
        <f aca="false">SUMPRODUCT(MAX((Data!$A$2:$A$2227=$A11)*Data!$F$2:$F$2227))</f>
        <v>400065.85</v>
      </c>
      <c r="H11" s="6" t="n">
        <f aca="false">SUMIFS(Data!$G$2:$G$2227,Data!$A$2:$A$2227,$A11,Data!$B$2:$B$2227,2026,Data!$C$2:$C$2227,9)</f>
        <v>1026024.28</v>
      </c>
      <c r="I11" s="7" t="n">
        <f aca="false">COUNTIFS(Data!$A$2:$A$2227,$A11,Data!$G$2:$G$2227,"&gt;"&amp;H11)+1</f>
        <v>13</v>
      </c>
      <c r="J11" s="6" t="n">
        <f aca="false">SUMPRODUCT(MAX((Data!$A$2:$A$2227=$A11)*Data!$G$2:$G$2227))</f>
        <v>1232212.85</v>
      </c>
    </row>
    <row r="12" customFormat="false" ht="15" hidden="false" customHeight="false" outlineLevel="0" collapsed="false">
      <c r="A12" s="5" t="s">
        <v>16</v>
      </c>
      <c r="B12" s="8" t="n">
        <f aca="false">SUMIFS(Data!$E$2:$E$2227,Data!$A$2:$A$2227,$A12,Data!$B$2:$B$2227,2026,Data!$C$2:$C$2227,9)</f>
        <v>491527.94</v>
      </c>
      <c r="C12" s="9" t="n">
        <f aca="false">COUNTIFS(Data!$A$2:$A$2227,$A12,Data!$E$2:$E$2227,"&gt;"&amp;B12)+1</f>
        <v>1</v>
      </c>
      <c r="D12" s="6" t="n">
        <f aca="false">SUMPRODUCT(MAX((Data!$A$2:$A$2227=$A12)*Data!$E$2:$E$2227))</f>
        <v>491527.94</v>
      </c>
      <c r="E12" s="6" t="n">
        <f aca="false">SUMIFS(Data!$F$2:$F$2227,Data!$A$2:$A$2227,$A12,Data!$B$2:$B$2227,2026,Data!$C$2:$C$2227,9)</f>
        <v>235394.39</v>
      </c>
      <c r="F12" s="7" t="n">
        <f aca="false">COUNTIFS(Data!$A$2:$A$2227,$A12,Data!$F$2:$F$2227,"&gt;"&amp;E12)+1</f>
        <v>19</v>
      </c>
      <c r="G12" s="6" t="n">
        <f aca="false">SUMPRODUCT(MAX((Data!$A$2:$A$2227=$A12)*Data!$F$2:$F$2227))</f>
        <v>301221.42</v>
      </c>
      <c r="H12" s="6" t="n">
        <f aca="false">SUMIFS(Data!$G$2:$G$2227,Data!$A$2:$A$2227,$A12,Data!$B$2:$B$2227,2026,Data!$C$2:$C$2227,9)</f>
        <v>726922.33</v>
      </c>
      <c r="I12" s="7" t="n">
        <f aca="false">COUNTIFS(Data!$A$2:$A$2227,$A12,Data!$G$2:$G$2227,"&gt;"&amp;H12)+1</f>
        <v>2</v>
      </c>
      <c r="J12" s="6" t="n">
        <f aca="false">SUMPRODUCT(MAX((Data!$A$2:$A$2227=$A12)*Data!$G$2:$G$2227))</f>
        <v>770405.77</v>
      </c>
    </row>
    <row r="13" customFormat="false" ht="15" hidden="false" customHeight="false" outlineLevel="0" collapsed="false">
      <c r="A13" s="5" t="s">
        <v>17</v>
      </c>
      <c r="B13" s="6" t="n">
        <f aca="false">SUMIFS(Data!$E$2:$E$2227,Data!$A$2:$A$2227,$A13,Data!$B$2:$B$2227,2026,Data!$C$2:$C$2227,9)</f>
        <v>436606.79</v>
      </c>
      <c r="C13" s="7" t="n">
        <f aca="false">COUNTIFS(Data!$A$2:$A$2227,$A13,Data!$E$2:$E$2227,"&gt;"&amp;B13)+1</f>
        <v>15</v>
      </c>
      <c r="D13" s="6" t="n">
        <f aca="false">SUMPRODUCT(MAX((Data!$A$2:$A$2227=$A13)*Data!$E$2:$E$2227))</f>
        <v>543895.05</v>
      </c>
      <c r="E13" s="6" t="n">
        <f aca="false">SUMIFS(Data!$F$2:$F$2227,Data!$A$2:$A$2227,$A13,Data!$B$2:$B$2227,2026,Data!$C$2:$C$2227,9)</f>
        <v>273873.9</v>
      </c>
      <c r="F13" s="7" t="n">
        <f aca="false">COUNTIFS(Data!$A$2:$A$2227,$A13,Data!$F$2:$F$2227,"&gt;"&amp;E13)+1</f>
        <v>36</v>
      </c>
      <c r="G13" s="6" t="n">
        <f aca="false">SUMPRODUCT(MAX((Data!$A$2:$A$2227=$A13)*Data!$F$2:$F$2227))</f>
        <v>385972.71</v>
      </c>
      <c r="H13" s="6" t="n">
        <f aca="false">SUMIFS(Data!$G$2:$G$2227,Data!$A$2:$A$2227,$A13,Data!$B$2:$B$2227,2026,Data!$C$2:$C$2227,9)</f>
        <v>710480.69</v>
      </c>
      <c r="I13" s="7" t="n">
        <f aca="false">COUNTIFS(Data!$A$2:$A$2227,$A13,Data!$G$2:$G$2227,"&gt;"&amp;H13)+1</f>
        <v>19</v>
      </c>
      <c r="J13" s="6" t="n">
        <f aca="false">SUMPRODUCT(MAX((Data!$A$2:$A$2227=$A13)*Data!$G$2:$G$2227))</f>
        <v>845454.75</v>
      </c>
    </row>
    <row r="14" customFormat="false" ht="15" hidden="false" customHeight="false" outlineLevel="0" collapsed="false">
      <c r="A14" s="5" t="s">
        <v>18</v>
      </c>
      <c r="B14" s="6" t="n">
        <f aca="false">SUMIFS(Data!$E$2:$E$2227,Data!$A$2:$A$2227,$A14,Data!$B$2:$B$2227,2026,Data!$C$2:$C$2227,9)</f>
        <v>415701.04</v>
      </c>
      <c r="C14" s="7" t="n">
        <f aca="false">COUNTIFS(Data!$A$2:$A$2227,$A14,Data!$E$2:$E$2227,"&gt;"&amp;B14)+1</f>
        <v>5</v>
      </c>
      <c r="D14" s="6" t="n">
        <f aca="false">SUMPRODUCT(MAX((Data!$A$2:$A$2227=$A14)*Data!$E$2:$E$2227))</f>
        <v>469665.4</v>
      </c>
      <c r="E14" s="6" t="n">
        <f aca="false">SUMIFS(Data!$F$2:$F$2227,Data!$A$2:$A$2227,$A14,Data!$B$2:$B$2227,2026,Data!$C$2:$C$2227,9)</f>
        <v>238402.65</v>
      </c>
      <c r="F14" s="7" t="n">
        <f aca="false">COUNTIFS(Data!$A$2:$A$2227,$A14,Data!$F$2:$F$2227,"&gt;"&amp;E14)+1</f>
        <v>19</v>
      </c>
      <c r="G14" s="6" t="n">
        <f aca="false">SUMPRODUCT(MAX((Data!$A$2:$A$2227=$A14)*Data!$F$2:$F$2227))</f>
        <v>309243.24</v>
      </c>
      <c r="H14" s="6" t="n">
        <f aca="false">SUMIFS(Data!$G$2:$G$2227,Data!$A$2:$A$2227,$A14,Data!$B$2:$B$2227,2026,Data!$C$2:$C$2227,9)</f>
        <v>654103.69</v>
      </c>
      <c r="I14" s="7" t="n">
        <f aca="false">COUNTIFS(Data!$A$2:$A$2227,$A14,Data!$G$2:$G$2227,"&gt;"&amp;H14)+1</f>
        <v>6</v>
      </c>
      <c r="J14" s="6" t="n">
        <f aca="false">SUMPRODUCT(MAX((Data!$A$2:$A$2227=$A14)*Data!$G$2:$G$2227))</f>
        <v>776705.22</v>
      </c>
    </row>
    <row r="15" customFormat="false" ht="15" hidden="false" customHeight="false" outlineLevel="0" collapsed="false">
      <c r="A15" s="5" t="s">
        <v>19</v>
      </c>
      <c r="B15" s="8" t="n">
        <f aca="false">SUMIFS(Data!$E$2:$E$2227,Data!$A$2:$A$2227,$A15,Data!$B$2:$B$2227,2026,Data!$C$2:$C$2227,9)</f>
        <v>392627.87</v>
      </c>
      <c r="C15" s="9" t="n">
        <f aca="false">COUNTIFS(Data!$A$2:$A$2227,$A15,Data!$E$2:$E$2227,"&gt;"&amp;B15)+1</f>
        <v>1</v>
      </c>
      <c r="D15" s="6" t="n">
        <f aca="false">SUMPRODUCT(MAX((Data!$A$2:$A$2227=$A15)*Data!$E$2:$E$2227))</f>
        <v>392627.87</v>
      </c>
      <c r="E15" s="6" t="n">
        <f aca="false">SUMIFS(Data!$F$2:$F$2227,Data!$A$2:$A$2227,$A15,Data!$B$2:$B$2227,2026,Data!$C$2:$C$2227,9)</f>
        <v>200372.73</v>
      </c>
      <c r="F15" s="7" t="n">
        <f aca="false">COUNTIFS(Data!$A$2:$A$2227,$A15,Data!$F$2:$F$2227,"&gt;"&amp;E15)+1</f>
        <v>2</v>
      </c>
      <c r="G15" s="6" t="n">
        <f aca="false">SUMPRODUCT(MAX((Data!$A$2:$A$2227=$A15)*Data!$F$2:$F$2227))</f>
        <v>210203.34</v>
      </c>
      <c r="H15" s="8" t="n">
        <f aca="false">SUMIFS(Data!$G$2:$G$2227,Data!$A$2:$A$2227,$A15,Data!$B$2:$B$2227,2026,Data!$C$2:$C$2227,9)</f>
        <v>593000.6</v>
      </c>
      <c r="I15" s="9" t="n">
        <f aca="false">COUNTIFS(Data!$A$2:$A$2227,$A15,Data!$G$2:$G$2227,"&gt;"&amp;H15)+1</f>
        <v>1</v>
      </c>
      <c r="J15" s="6" t="n">
        <f aca="false">SUMPRODUCT(MAX((Data!$A$2:$A$2227=$A15)*Data!$G$2:$G$2227))</f>
        <v>593000.6</v>
      </c>
    </row>
    <row r="16" customFormat="false" ht="15" hidden="false" customHeight="false" outlineLevel="0" collapsed="false">
      <c r="A16" s="5" t="s">
        <v>20</v>
      </c>
      <c r="B16" s="6" t="n">
        <f aca="false">SUMIFS(Data!$E$2:$E$2227,Data!$A$2:$A$2227,$A16,Data!$B$2:$B$2227,2026,Data!$C$2:$C$2227,9)</f>
        <v>388411.02</v>
      </c>
      <c r="C16" s="7" t="n">
        <f aca="false">COUNTIFS(Data!$A$2:$A$2227,$A16,Data!$E$2:$E$2227,"&gt;"&amp;B16)+1</f>
        <v>7</v>
      </c>
      <c r="D16" s="6" t="n">
        <f aca="false">SUMPRODUCT(MAX((Data!$A$2:$A$2227=$A16)*Data!$E$2:$E$2227))</f>
        <v>463124.14</v>
      </c>
      <c r="E16" s="6" t="n">
        <f aca="false">SUMIFS(Data!$F$2:$F$2227,Data!$A$2:$A$2227,$A16,Data!$B$2:$B$2227,2026,Data!$C$2:$C$2227,9)</f>
        <v>164029.84</v>
      </c>
      <c r="F16" s="7" t="n">
        <f aca="false">COUNTIFS(Data!$A$2:$A$2227,$A16,Data!$F$2:$F$2227,"&gt;"&amp;E16)+1</f>
        <v>13</v>
      </c>
      <c r="G16" s="6" t="n">
        <f aca="false">SUMPRODUCT(MAX((Data!$A$2:$A$2227=$A16)*Data!$F$2:$F$2227))</f>
        <v>203733.95</v>
      </c>
      <c r="H16" s="6" t="n">
        <f aca="false">SUMIFS(Data!$G$2:$G$2227,Data!$A$2:$A$2227,$A16,Data!$B$2:$B$2227,2026,Data!$C$2:$C$2227,9)</f>
        <v>552440.86</v>
      </c>
      <c r="I16" s="7" t="n">
        <f aca="false">COUNTIFS(Data!$A$2:$A$2227,$A16,Data!$G$2:$G$2227,"&gt;"&amp;H16)+1</f>
        <v>8</v>
      </c>
      <c r="J16" s="6" t="n">
        <f aca="false">SUMPRODUCT(MAX((Data!$A$2:$A$2227=$A16)*Data!$G$2:$G$2227))</f>
        <v>666858.09</v>
      </c>
    </row>
    <row r="17" customFormat="false" ht="15" hidden="false" customHeight="false" outlineLevel="0" collapsed="false">
      <c r="A17" s="5" t="s">
        <v>21</v>
      </c>
      <c r="B17" s="8" t="n">
        <f aca="false">SUMIFS(Data!$E$2:$E$2227,Data!$A$2:$A$2227,$A17,Data!$B$2:$B$2227,2026,Data!$C$2:$C$2227,9)</f>
        <v>302457.71</v>
      </c>
      <c r="C17" s="9" t="n">
        <f aca="false">COUNTIFS(Data!$A$2:$A$2227,$A17,Data!$E$2:$E$2227,"&gt;"&amp;B17)+1</f>
        <v>1</v>
      </c>
      <c r="D17" s="6" t="n">
        <f aca="false">SUMPRODUCT(MAX((Data!$A$2:$A$2227=$A17)*Data!$E$2:$E$2227))</f>
        <v>302457.71</v>
      </c>
      <c r="E17" s="8" t="n">
        <f aca="false">SUMIFS(Data!$F$2:$F$2227,Data!$A$2:$A$2227,$A17,Data!$B$2:$B$2227,2026,Data!$C$2:$C$2227,9)</f>
        <v>200348.57</v>
      </c>
      <c r="F17" s="9" t="n">
        <f aca="false">COUNTIFS(Data!$A$2:$A$2227,$A17,Data!$F$2:$F$2227,"&gt;"&amp;E17)+1</f>
        <v>1</v>
      </c>
      <c r="G17" s="6" t="n">
        <f aca="false">SUMPRODUCT(MAX((Data!$A$2:$A$2227=$A17)*Data!$F$2:$F$2227))</f>
        <v>200348.57</v>
      </c>
      <c r="H17" s="8" t="n">
        <f aca="false">SUMIFS(Data!$G$2:$G$2227,Data!$A$2:$A$2227,$A17,Data!$B$2:$B$2227,2026,Data!$C$2:$C$2227,9)</f>
        <v>502806.28</v>
      </c>
      <c r="I17" s="9" t="n">
        <f aca="false">COUNTIFS(Data!$A$2:$A$2227,$A17,Data!$G$2:$G$2227,"&gt;"&amp;H17)+1</f>
        <v>1</v>
      </c>
      <c r="J17" s="6" t="n">
        <f aca="false">SUMPRODUCT(MAX((Data!$A$2:$A$2227=$A17)*Data!$G$2:$G$2227))</f>
        <v>502806.28</v>
      </c>
    </row>
    <row r="18" customFormat="false" ht="15" hidden="false" customHeight="false" outlineLevel="0" collapsed="false">
      <c r="A18" s="5" t="s">
        <v>22</v>
      </c>
      <c r="B18" s="6" t="n">
        <f aca="false">SUMIFS(Data!$E$2:$E$2227,Data!$A$2:$A$2227,$A18,Data!$B$2:$B$2227,2026,Data!$C$2:$C$2227,9)</f>
        <v>349085.67</v>
      </c>
      <c r="C18" s="7" t="n">
        <f aca="false">COUNTIFS(Data!$A$2:$A$2227,$A18,Data!$E$2:$E$2227,"&gt;"&amp;B18)+1</f>
        <v>7</v>
      </c>
      <c r="D18" s="6" t="n">
        <f aca="false">SUMPRODUCT(MAX((Data!$A$2:$A$2227=$A18)*Data!$E$2:$E$2227))</f>
        <v>381784.3</v>
      </c>
      <c r="E18" s="6" t="n">
        <f aca="false">SUMIFS(Data!$F$2:$F$2227,Data!$A$2:$A$2227,$A18,Data!$B$2:$B$2227,2026,Data!$C$2:$C$2227,9)</f>
        <v>145786.91</v>
      </c>
      <c r="F18" s="7" t="n">
        <f aca="false">COUNTIFS(Data!$A$2:$A$2227,$A18,Data!$F$2:$F$2227,"&gt;"&amp;E18)+1</f>
        <v>10</v>
      </c>
      <c r="G18" s="6" t="n">
        <f aca="false">SUMPRODUCT(MAX((Data!$A$2:$A$2227=$A18)*Data!$F$2:$F$2227))</f>
        <v>175609.84</v>
      </c>
      <c r="H18" s="6" t="n">
        <f aca="false">SUMIFS(Data!$G$2:$G$2227,Data!$A$2:$A$2227,$A18,Data!$B$2:$B$2227,2026,Data!$C$2:$C$2227,9)</f>
        <v>494872.58</v>
      </c>
      <c r="I18" s="7" t="n">
        <f aca="false">COUNTIFS(Data!$A$2:$A$2227,$A18,Data!$G$2:$G$2227,"&gt;"&amp;H18)+1</f>
        <v>7</v>
      </c>
      <c r="J18" s="6" t="n">
        <f aca="false">SUMPRODUCT(MAX((Data!$A$2:$A$2227=$A18)*Data!$G$2:$G$2227))</f>
        <v>531869.48</v>
      </c>
    </row>
    <row r="19" customFormat="false" ht="15" hidden="false" customHeight="false" outlineLevel="0" collapsed="false">
      <c r="A19" s="5" t="s">
        <v>23</v>
      </c>
      <c r="B19" s="6" t="n">
        <f aca="false">SUMIFS(Data!$E$2:$E$2227,Data!$A$2:$A$2227,$A19,Data!$B$2:$B$2227,2026,Data!$C$2:$C$2227,9)</f>
        <v>340820.23</v>
      </c>
      <c r="C19" s="7" t="n">
        <f aca="false">COUNTIFS(Data!$A$2:$A$2227,$A19,Data!$E$2:$E$2227,"&gt;"&amp;B19)+1</f>
        <v>34</v>
      </c>
      <c r="D19" s="6" t="n">
        <f aca="false">SUMPRODUCT(MAX((Data!$A$2:$A$2227=$A19)*Data!$E$2:$E$2227))</f>
        <v>518472.34</v>
      </c>
      <c r="E19" s="6" t="n">
        <f aca="false">SUMIFS(Data!$F$2:$F$2227,Data!$A$2:$A$2227,$A19,Data!$B$2:$B$2227,2026,Data!$C$2:$C$2227,9)</f>
        <v>153137.54</v>
      </c>
      <c r="F19" s="7" t="n">
        <f aca="false">COUNTIFS(Data!$A$2:$A$2227,$A19,Data!$F$2:$F$2227,"&gt;"&amp;E19)+1</f>
        <v>41</v>
      </c>
      <c r="G19" s="6" t="n">
        <f aca="false">SUMPRODUCT(MAX((Data!$A$2:$A$2227=$A19)*Data!$F$2:$F$2227))</f>
        <v>234188.62</v>
      </c>
      <c r="H19" s="6" t="n">
        <f aca="false">SUMIFS(Data!$G$2:$G$2227,Data!$A$2:$A$2227,$A19,Data!$B$2:$B$2227,2026,Data!$C$2:$C$2227,9)</f>
        <v>493957.77</v>
      </c>
      <c r="I19" s="7" t="n">
        <f aca="false">COUNTIFS(Data!$A$2:$A$2227,$A19,Data!$G$2:$G$2227,"&gt;"&amp;H19)+1</f>
        <v>34</v>
      </c>
      <c r="J19" s="6" t="n">
        <f aca="false">SUMPRODUCT(MAX((Data!$A$2:$A$2227=$A19)*Data!$G$2:$G$2227))</f>
        <v>684367.38</v>
      </c>
    </row>
    <row r="20" customFormat="false" ht="15" hidden="false" customHeight="false" outlineLevel="0" collapsed="false">
      <c r="A20" s="5" t="s">
        <v>24</v>
      </c>
      <c r="B20" s="6" t="n">
        <f aca="false">SUMIFS(Data!$E$2:$E$2227,Data!$A$2:$A$2227,$A20,Data!$B$2:$B$2227,2026,Data!$C$2:$C$2227,9)</f>
        <v>313213.04</v>
      </c>
      <c r="C20" s="7" t="n">
        <f aca="false">COUNTIFS(Data!$A$2:$A$2227,$A20,Data!$E$2:$E$2227,"&gt;"&amp;B20)+1</f>
        <v>27</v>
      </c>
      <c r="D20" s="6" t="n">
        <f aca="false">SUMPRODUCT(MAX((Data!$A$2:$A$2227=$A20)*Data!$E$2:$E$2227))</f>
        <v>386279.04</v>
      </c>
      <c r="E20" s="6" t="n">
        <f aca="false">SUMIFS(Data!$F$2:$F$2227,Data!$A$2:$A$2227,$A20,Data!$B$2:$B$2227,2026,Data!$C$2:$C$2227,9)</f>
        <v>158714.76</v>
      </c>
      <c r="F20" s="7" t="n">
        <f aca="false">COUNTIFS(Data!$A$2:$A$2227,$A20,Data!$F$2:$F$2227,"&gt;"&amp;E20)+1</f>
        <v>22</v>
      </c>
      <c r="G20" s="6" t="n">
        <f aca="false">SUMPRODUCT(MAX((Data!$A$2:$A$2227=$A20)*Data!$F$2:$F$2227))</f>
        <v>198833.53</v>
      </c>
      <c r="H20" s="6" t="n">
        <f aca="false">SUMIFS(Data!$G$2:$G$2227,Data!$A$2:$A$2227,$A20,Data!$B$2:$B$2227,2026,Data!$C$2:$C$2227,9)</f>
        <v>471927.8</v>
      </c>
      <c r="I20" s="7" t="n">
        <f aca="false">COUNTIFS(Data!$A$2:$A$2227,$A20,Data!$G$2:$G$2227,"&gt;"&amp;H20)+1</f>
        <v>25</v>
      </c>
      <c r="J20" s="6" t="n">
        <f aca="false">SUMPRODUCT(MAX((Data!$A$2:$A$2227=$A20)*Data!$G$2:$G$2227))</f>
        <v>569819.2</v>
      </c>
    </row>
    <row r="21" customFormat="false" ht="15" hidden="false" customHeight="false" outlineLevel="0" collapsed="false">
      <c r="A21" s="5" t="s">
        <v>25</v>
      </c>
      <c r="B21" s="6" t="n">
        <f aca="false">SUMIFS(Data!$E$2:$E$2227,Data!$A$2:$A$2227,$A21,Data!$B$2:$B$2227,2026,Data!$C$2:$C$2227,9)</f>
        <v>309392.32</v>
      </c>
      <c r="C21" s="7" t="n">
        <f aca="false">COUNTIFS(Data!$A$2:$A$2227,$A21,Data!$E$2:$E$2227,"&gt;"&amp;B21)+1</f>
        <v>6</v>
      </c>
      <c r="D21" s="6" t="n">
        <f aca="false">SUMPRODUCT(MAX((Data!$A$2:$A$2227=$A21)*Data!$E$2:$E$2227))</f>
        <v>360403.34</v>
      </c>
      <c r="E21" s="6" t="n">
        <f aca="false">SUMIFS(Data!$F$2:$F$2227,Data!$A$2:$A$2227,$A21,Data!$B$2:$B$2227,2026,Data!$C$2:$C$2227,9)</f>
        <v>154236.88</v>
      </c>
      <c r="F21" s="7" t="n">
        <f aca="false">COUNTIFS(Data!$A$2:$A$2227,$A21,Data!$F$2:$F$2227,"&gt;"&amp;E21)+1</f>
        <v>11</v>
      </c>
      <c r="G21" s="6" t="n">
        <f aca="false">SUMPRODUCT(MAX((Data!$A$2:$A$2227=$A21)*Data!$F$2:$F$2227))</f>
        <v>181696.14</v>
      </c>
      <c r="H21" s="6" t="n">
        <f aca="false">SUMIFS(Data!$G$2:$G$2227,Data!$A$2:$A$2227,$A21,Data!$B$2:$B$2227,2026,Data!$C$2:$C$2227,9)</f>
        <v>463629.2</v>
      </c>
      <c r="I21" s="7" t="n">
        <f aca="false">COUNTIFS(Data!$A$2:$A$2227,$A21,Data!$G$2:$G$2227,"&gt;"&amp;H21)+1</f>
        <v>5</v>
      </c>
      <c r="J21" s="6" t="n">
        <f aca="false">SUMPRODUCT(MAX((Data!$A$2:$A$2227=$A21)*Data!$G$2:$G$2227))</f>
        <v>542099.48</v>
      </c>
    </row>
    <row r="22" customFormat="false" ht="15" hidden="false" customHeight="false" outlineLevel="0" collapsed="false">
      <c r="A22" s="5" t="s">
        <v>26</v>
      </c>
      <c r="B22" s="6" t="n">
        <f aca="false">SUMIFS(Data!$E$2:$E$2227,Data!$A$2:$A$2227,$A22,Data!$B$2:$B$2227,2026,Data!$C$2:$C$2227,9)</f>
        <v>332821.98</v>
      </c>
      <c r="C22" s="7" t="n">
        <f aca="false">COUNTIFS(Data!$A$2:$A$2227,$A22,Data!$E$2:$E$2227,"&gt;"&amp;B22)+1</f>
        <v>6</v>
      </c>
      <c r="D22" s="6" t="n">
        <f aca="false">SUMPRODUCT(MAX((Data!$A$2:$A$2227=$A22)*Data!$E$2:$E$2227))</f>
        <v>342497.71</v>
      </c>
      <c r="E22" s="6" t="n">
        <f aca="false">SUMIFS(Data!$F$2:$F$2227,Data!$A$2:$A$2227,$A22,Data!$B$2:$B$2227,2026,Data!$C$2:$C$2227,9)</f>
        <v>129481.28</v>
      </c>
      <c r="F22" s="7" t="n">
        <f aca="false">COUNTIFS(Data!$A$2:$A$2227,$A22,Data!$F$2:$F$2227,"&gt;"&amp;E22)+1</f>
        <v>14</v>
      </c>
      <c r="G22" s="6" t="n">
        <f aca="false">SUMPRODUCT(MAX((Data!$A$2:$A$2227=$A22)*Data!$F$2:$F$2227))</f>
        <v>154156.02</v>
      </c>
      <c r="H22" s="6" t="n">
        <f aca="false">SUMIFS(Data!$G$2:$G$2227,Data!$A$2:$A$2227,$A22,Data!$B$2:$B$2227,2026,Data!$C$2:$C$2227,9)</f>
        <v>462303.26</v>
      </c>
      <c r="I22" s="7" t="n">
        <f aca="false">COUNTIFS(Data!$A$2:$A$2227,$A22,Data!$G$2:$G$2227,"&gt;"&amp;H22)+1</f>
        <v>6</v>
      </c>
      <c r="J22" s="6" t="n">
        <f aca="false">SUMPRODUCT(MAX((Data!$A$2:$A$2227=$A22)*Data!$G$2:$G$2227))</f>
        <v>496653.73</v>
      </c>
    </row>
    <row r="23" customFormat="false" ht="15" hidden="false" customHeight="false" outlineLevel="0" collapsed="false">
      <c r="A23" s="5" t="s">
        <v>27</v>
      </c>
      <c r="B23" s="6" t="n">
        <f aca="false">SUMIFS(Data!$E$2:$E$2227,Data!$A$2:$A$2227,$A23,Data!$B$2:$B$2227,2026,Data!$C$2:$C$2227,9)</f>
        <v>316777.81</v>
      </c>
      <c r="C23" s="7" t="n">
        <f aca="false">COUNTIFS(Data!$A$2:$A$2227,$A23,Data!$E$2:$E$2227,"&gt;"&amp;B23)+1</f>
        <v>27</v>
      </c>
      <c r="D23" s="6" t="n">
        <f aca="false">SUMPRODUCT(MAX((Data!$A$2:$A$2227=$A23)*Data!$E$2:$E$2227))</f>
        <v>424011.61</v>
      </c>
      <c r="E23" s="6" t="n">
        <f aca="false">SUMIFS(Data!$F$2:$F$2227,Data!$A$2:$A$2227,$A23,Data!$B$2:$B$2227,2026,Data!$C$2:$C$2227,9)</f>
        <v>145130.83</v>
      </c>
      <c r="F23" s="7" t="n">
        <f aca="false">COUNTIFS(Data!$A$2:$A$2227,$A23,Data!$F$2:$F$2227,"&gt;"&amp;E23)+1</f>
        <v>47</v>
      </c>
      <c r="G23" s="6" t="n">
        <f aca="false">SUMPRODUCT(MAX((Data!$A$2:$A$2227=$A23)*Data!$F$2:$F$2227))</f>
        <v>276952.53</v>
      </c>
      <c r="H23" s="6" t="n">
        <f aca="false">SUMIFS(Data!$G$2:$G$2227,Data!$A$2:$A$2227,$A23,Data!$B$2:$B$2227,2026,Data!$C$2:$C$2227,9)</f>
        <v>461908.64</v>
      </c>
      <c r="I23" s="7" t="n">
        <f aca="false">COUNTIFS(Data!$A$2:$A$2227,$A23,Data!$G$2:$G$2227,"&gt;"&amp;H23)+1</f>
        <v>34</v>
      </c>
      <c r="J23" s="6" t="n">
        <f aca="false">SUMPRODUCT(MAX((Data!$A$2:$A$2227=$A23)*Data!$G$2:$G$2227))</f>
        <v>700964.14</v>
      </c>
    </row>
    <row r="24" customFormat="false" ht="15" hidden="false" customHeight="false" outlineLevel="0" collapsed="false">
      <c r="A24" s="5" t="s">
        <v>28</v>
      </c>
      <c r="B24" s="8" t="n">
        <f aca="false">SUMIFS(Data!$E$2:$E$2227,Data!$A$2:$A$2227,$A24,Data!$B$2:$B$2227,2026,Data!$C$2:$C$2227,9)</f>
        <v>281292.55</v>
      </c>
      <c r="C24" s="9" t="n">
        <f aca="false">COUNTIFS(Data!$A$2:$A$2227,$A24,Data!$E$2:$E$2227,"&gt;"&amp;B24)+1</f>
        <v>1</v>
      </c>
      <c r="D24" s="6" t="n">
        <f aca="false">SUMPRODUCT(MAX((Data!$A$2:$A$2227=$A24)*Data!$E$2:$E$2227))</f>
        <v>281292.55</v>
      </c>
      <c r="E24" s="6" t="n">
        <f aca="false">SUMIFS(Data!$F$2:$F$2227,Data!$A$2:$A$2227,$A24,Data!$B$2:$B$2227,2026,Data!$C$2:$C$2227,9)</f>
        <v>147005.74</v>
      </c>
      <c r="F24" s="7" t="n">
        <f aca="false">COUNTIFS(Data!$A$2:$A$2227,$A24,Data!$F$2:$F$2227,"&gt;"&amp;E24)+1</f>
        <v>9</v>
      </c>
      <c r="G24" s="6" t="n">
        <f aca="false">SUMPRODUCT(MAX((Data!$A$2:$A$2227=$A24)*Data!$F$2:$F$2227))</f>
        <v>173232.36</v>
      </c>
      <c r="H24" s="6" t="n">
        <f aca="false">SUMIFS(Data!$G$2:$G$2227,Data!$A$2:$A$2227,$A24,Data!$B$2:$B$2227,2026,Data!$C$2:$C$2227,9)</f>
        <v>428298.29</v>
      </c>
      <c r="I24" s="7" t="n">
        <f aca="false">COUNTIFS(Data!$A$2:$A$2227,$A24,Data!$G$2:$G$2227,"&gt;"&amp;H24)+1</f>
        <v>2</v>
      </c>
      <c r="J24" s="6" t="n">
        <f aca="false">SUMPRODUCT(MAX((Data!$A$2:$A$2227=$A24)*Data!$G$2:$G$2227))</f>
        <v>433946.58</v>
      </c>
    </row>
    <row r="25" customFormat="false" ht="15" hidden="false" customHeight="false" outlineLevel="0" collapsed="false">
      <c r="A25" s="5" t="s">
        <v>29</v>
      </c>
      <c r="B25" s="6" t="n">
        <f aca="false">SUMIFS(Data!$E$2:$E$2227,Data!$A$2:$A$2227,$A25,Data!$B$2:$B$2227,2026,Data!$C$2:$C$2227,9)</f>
        <v>238936.06</v>
      </c>
      <c r="C25" s="7" t="n">
        <f aca="false">COUNTIFS(Data!$A$2:$A$2227,$A25,Data!$E$2:$E$2227,"&gt;"&amp;B25)+1</f>
        <v>31</v>
      </c>
      <c r="D25" s="6" t="n">
        <f aca="false">SUMPRODUCT(MAX((Data!$A$2:$A$2227=$A25)*Data!$E$2:$E$2227))</f>
        <v>304953.94</v>
      </c>
      <c r="E25" s="6" t="n">
        <f aca="false">SUMIFS(Data!$F$2:$F$2227,Data!$A$2:$A$2227,$A25,Data!$B$2:$B$2227,2026,Data!$C$2:$C$2227,9)</f>
        <v>163314.65</v>
      </c>
      <c r="F25" s="7" t="n">
        <f aca="false">COUNTIFS(Data!$A$2:$A$2227,$A25,Data!$F$2:$F$2227,"&gt;"&amp;E25)+1</f>
        <v>34</v>
      </c>
      <c r="G25" s="6" t="n">
        <f aca="false">SUMPRODUCT(MAX((Data!$A$2:$A$2227=$A25)*Data!$F$2:$F$2227))</f>
        <v>216263.83</v>
      </c>
      <c r="H25" s="6" t="n">
        <f aca="false">SUMIFS(Data!$G$2:$G$2227,Data!$A$2:$A$2227,$A25,Data!$B$2:$B$2227,2026,Data!$C$2:$C$2227,9)</f>
        <v>402250.71</v>
      </c>
      <c r="I25" s="7" t="n">
        <f aca="false">COUNTIFS(Data!$A$2:$A$2227,$A25,Data!$G$2:$G$2227,"&gt;"&amp;H25)+1</f>
        <v>32</v>
      </c>
      <c r="J25" s="6" t="n">
        <f aca="false">SUMPRODUCT(MAX((Data!$A$2:$A$2227=$A25)*Data!$G$2:$G$2227))</f>
        <v>504417</v>
      </c>
    </row>
    <row r="26" customFormat="false" ht="15" hidden="false" customHeight="false" outlineLevel="0" collapsed="false">
      <c r="A26" s="5" t="s">
        <v>30</v>
      </c>
      <c r="B26" s="6" t="n">
        <f aca="false">SUMIFS(Data!$E$2:$E$2227,Data!$A$2:$A$2227,$A26,Data!$B$2:$B$2227,2026,Data!$C$2:$C$2227,9)</f>
        <v>260612.17</v>
      </c>
      <c r="C26" s="7" t="n">
        <f aca="false">COUNTIFS(Data!$A$2:$A$2227,$A26,Data!$E$2:$E$2227,"&gt;"&amp;B26)+1</f>
        <v>13</v>
      </c>
      <c r="D26" s="6" t="n">
        <f aca="false">SUMPRODUCT(MAX((Data!$A$2:$A$2227=$A26)*Data!$E$2:$E$2227))</f>
        <v>311914.99</v>
      </c>
      <c r="E26" s="6" t="n">
        <f aca="false">SUMIFS(Data!$F$2:$F$2227,Data!$A$2:$A$2227,$A26,Data!$B$2:$B$2227,2026,Data!$C$2:$C$2227,9)</f>
        <v>137383.41</v>
      </c>
      <c r="F26" s="7" t="n">
        <f aca="false">COUNTIFS(Data!$A$2:$A$2227,$A26,Data!$F$2:$F$2227,"&gt;"&amp;E26)+1</f>
        <v>41</v>
      </c>
      <c r="G26" s="6" t="n">
        <f aca="false">SUMPRODUCT(MAX((Data!$A$2:$A$2227=$A26)*Data!$F$2:$F$2227))</f>
        <v>191146.29</v>
      </c>
      <c r="H26" s="6" t="n">
        <f aca="false">SUMIFS(Data!$G$2:$G$2227,Data!$A$2:$A$2227,$A26,Data!$B$2:$B$2227,2026,Data!$C$2:$C$2227,9)</f>
        <v>397995.58</v>
      </c>
      <c r="I26" s="7" t="n">
        <f aca="false">COUNTIFS(Data!$A$2:$A$2227,$A26,Data!$G$2:$G$2227,"&gt;"&amp;H26)+1</f>
        <v>15</v>
      </c>
      <c r="J26" s="6" t="n">
        <f aca="false">SUMPRODUCT(MAX((Data!$A$2:$A$2227=$A26)*Data!$G$2:$G$2227))</f>
        <v>481008.81</v>
      </c>
    </row>
    <row r="27" customFormat="false" ht="15" hidden="false" customHeight="false" outlineLevel="0" collapsed="false">
      <c r="A27" s="5" t="s">
        <v>31</v>
      </c>
      <c r="B27" s="6" t="n">
        <f aca="false">SUMIFS(Data!$E$2:$E$2227,Data!$A$2:$A$2227,$A27,Data!$B$2:$B$2227,2026,Data!$C$2:$C$2227,9)</f>
        <v>229569.14</v>
      </c>
      <c r="C27" s="7" t="n">
        <f aca="false">COUNTIFS(Data!$A$2:$A$2227,$A27,Data!$E$2:$E$2227,"&gt;"&amp;B27)+1</f>
        <v>11</v>
      </c>
      <c r="D27" s="6" t="n">
        <f aca="false">SUMPRODUCT(MAX((Data!$A$2:$A$2227=$A27)*Data!$E$2:$E$2227))</f>
        <v>270153.94</v>
      </c>
      <c r="E27" s="6" t="n">
        <f aca="false">SUMIFS(Data!$F$2:$F$2227,Data!$A$2:$A$2227,$A27,Data!$B$2:$B$2227,2026,Data!$C$2:$C$2227,9)</f>
        <v>142608.93</v>
      </c>
      <c r="F27" s="7" t="n">
        <f aca="false">COUNTIFS(Data!$A$2:$A$2227,$A27,Data!$F$2:$F$2227,"&gt;"&amp;E27)+1</f>
        <v>6</v>
      </c>
      <c r="G27" s="6" t="n">
        <f aca="false">SUMPRODUCT(MAX((Data!$A$2:$A$2227=$A27)*Data!$F$2:$F$2227))</f>
        <v>174470.39</v>
      </c>
      <c r="H27" s="6" t="n">
        <f aca="false">SUMIFS(Data!$G$2:$G$2227,Data!$A$2:$A$2227,$A27,Data!$B$2:$B$2227,2026,Data!$C$2:$C$2227,9)</f>
        <v>372178.07</v>
      </c>
      <c r="I27" s="7" t="n">
        <f aca="false">COUNTIFS(Data!$A$2:$A$2227,$A27,Data!$G$2:$G$2227,"&gt;"&amp;H27)+1</f>
        <v>7</v>
      </c>
      <c r="J27" s="6" t="n">
        <f aca="false">SUMPRODUCT(MAX((Data!$A$2:$A$2227=$A27)*Data!$G$2:$G$2227))</f>
        <v>437894.77</v>
      </c>
    </row>
    <row r="28" customFormat="false" ht="15" hidden="false" customHeight="false" outlineLevel="0" collapsed="false">
      <c r="A28" s="5" t="s">
        <v>32</v>
      </c>
      <c r="B28" s="8" t="n">
        <f aca="false">SUMIFS(Data!$E$2:$E$2227,Data!$A$2:$A$2227,$A28,Data!$B$2:$B$2227,2026,Data!$C$2:$C$2227,9)</f>
        <v>262460.99</v>
      </c>
      <c r="C28" s="9" t="n">
        <f aca="false">COUNTIFS(Data!$A$2:$A$2227,$A28,Data!$E$2:$E$2227,"&gt;"&amp;B28)+1</f>
        <v>1</v>
      </c>
      <c r="D28" s="6" t="n">
        <f aca="false">SUMPRODUCT(MAX((Data!$A$2:$A$2227=$A28)*Data!$E$2:$E$2227))</f>
        <v>262460.99</v>
      </c>
      <c r="E28" s="6" t="n">
        <f aca="false">SUMIFS(Data!$F$2:$F$2227,Data!$A$2:$A$2227,$A28,Data!$B$2:$B$2227,2026,Data!$C$2:$C$2227,9)</f>
        <v>106872.2</v>
      </c>
      <c r="F28" s="7" t="n">
        <f aca="false">COUNTIFS(Data!$A$2:$A$2227,$A28,Data!$F$2:$F$2227,"&gt;"&amp;E28)+1</f>
        <v>3</v>
      </c>
      <c r="G28" s="6" t="n">
        <f aca="false">SUMPRODUCT(MAX((Data!$A$2:$A$2227=$A28)*Data!$F$2:$F$2227))</f>
        <v>115703.54</v>
      </c>
      <c r="H28" s="8" t="n">
        <f aca="false">SUMIFS(Data!$G$2:$G$2227,Data!$A$2:$A$2227,$A28,Data!$B$2:$B$2227,2026,Data!$C$2:$C$2227,9)</f>
        <v>369333.19</v>
      </c>
      <c r="I28" s="9" t="n">
        <f aca="false">COUNTIFS(Data!$A$2:$A$2227,$A28,Data!$G$2:$G$2227,"&gt;"&amp;H28)+1</f>
        <v>1</v>
      </c>
      <c r="J28" s="6" t="n">
        <f aca="false">SUMPRODUCT(MAX((Data!$A$2:$A$2227=$A28)*Data!$G$2:$G$2227))</f>
        <v>369333.19</v>
      </c>
    </row>
    <row r="29" customFormat="false" ht="15" hidden="false" customHeight="false" outlineLevel="0" collapsed="false">
      <c r="A29" s="5" t="s">
        <v>33</v>
      </c>
      <c r="B29" s="6" t="n">
        <f aca="false">SUMIFS(Data!$E$2:$E$2227,Data!$A$2:$A$2227,$A29,Data!$B$2:$B$2227,2026,Data!$C$2:$C$2227,9)</f>
        <v>183661.17</v>
      </c>
      <c r="C29" s="7" t="n">
        <f aca="false">COUNTIFS(Data!$A$2:$A$2227,$A29,Data!$E$2:$E$2227,"&gt;"&amp;B29)+1</f>
        <v>5</v>
      </c>
      <c r="D29" s="6" t="n">
        <f aca="false">SUMPRODUCT(MAX((Data!$A$2:$A$2227=$A29)*Data!$E$2:$E$2227))</f>
        <v>196163.17</v>
      </c>
      <c r="E29" s="6" t="n">
        <f aca="false">SUMIFS(Data!$F$2:$F$2227,Data!$A$2:$A$2227,$A29,Data!$B$2:$B$2227,2026,Data!$C$2:$C$2227,9)</f>
        <v>120083.47</v>
      </c>
      <c r="F29" s="7" t="n">
        <f aca="false">COUNTIFS(Data!$A$2:$A$2227,$A29,Data!$F$2:$F$2227,"&gt;"&amp;E29)+1</f>
        <v>7</v>
      </c>
      <c r="G29" s="6" t="n">
        <f aca="false">SUMPRODUCT(MAX((Data!$A$2:$A$2227=$A29)*Data!$F$2:$F$2227))</f>
        <v>167767.17</v>
      </c>
      <c r="H29" s="6" t="n">
        <f aca="false">SUMIFS(Data!$G$2:$G$2227,Data!$A$2:$A$2227,$A29,Data!$B$2:$B$2227,2026,Data!$C$2:$C$2227,9)</f>
        <v>303744.64</v>
      </c>
      <c r="I29" s="7" t="n">
        <f aca="false">COUNTIFS(Data!$A$2:$A$2227,$A29,Data!$G$2:$G$2227,"&gt;"&amp;H29)+1</f>
        <v>7</v>
      </c>
      <c r="J29" s="6" t="n">
        <f aca="false">SUMPRODUCT(MAX((Data!$A$2:$A$2227=$A29)*Data!$G$2:$G$2227))</f>
        <v>354141.44</v>
      </c>
    </row>
    <row r="30" customFormat="false" ht="15" hidden="false" customHeight="false" outlineLevel="0" collapsed="false">
      <c r="A30" s="5" t="s">
        <v>34</v>
      </c>
      <c r="B30" s="6" t="n">
        <f aca="false">SUMIFS(Data!$E$2:$E$2227,Data!$A$2:$A$2227,$A30,Data!$B$2:$B$2227,2026,Data!$C$2:$C$2227,9)</f>
        <v>174623.32</v>
      </c>
      <c r="C30" s="7" t="n">
        <f aca="false">COUNTIFS(Data!$A$2:$A$2227,$A30,Data!$E$2:$E$2227,"&gt;"&amp;B30)+1</f>
        <v>41</v>
      </c>
      <c r="D30" s="6" t="n">
        <f aca="false">SUMPRODUCT(MAX((Data!$A$2:$A$2227=$A30)*Data!$E$2:$E$2227))</f>
        <v>353275.54</v>
      </c>
      <c r="E30" s="6" t="n">
        <f aca="false">SUMIFS(Data!$F$2:$F$2227,Data!$A$2:$A$2227,$A30,Data!$B$2:$B$2227,2026,Data!$C$2:$C$2227,9)</f>
        <v>122289.24</v>
      </c>
      <c r="F30" s="7" t="n">
        <f aca="false">COUNTIFS(Data!$A$2:$A$2227,$A30,Data!$F$2:$F$2227,"&gt;"&amp;E30)+1</f>
        <v>21</v>
      </c>
      <c r="G30" s="6" t="n">
        <f aca="false">SUMPRODUCT(MAX((Data!$A$2:$A$2227=$A30)*Data!$F$2:$F$2227))</f>
        <v>214183.42</v>
      </c>
      <c r="H30" s="6" t="n">
        <f aca="false">SUMIFS(Data!$G$2:$G$2227,Data!$A$2:$A$2227,$A30,Data!$B$2:$B$2227,2026,Data!$C$2:$C$2227,9)</f>
        <v>296912.56</v>
      </c>
      <c r="I30" s="7" t="n">
        <f aca="false">COUNTIFS(Data!$A$2:$A$2227,$A30,Data!$G$2:$G$2227,"&gt;"&amp;H30)+1</f>
        <v>33</v>
      </c>
      <c r="J30" s="6" t="n">
        <f aca="false">SUMPRODUCT(MAX((Data!$A$2:$A$2227=$A30)*Data!$G$2:$G$2227))</f>
        <v>566830.23</v>
      </c>
    </row>
    <row r="31" customFormat="false" ht="15" hidden="false" customHeight="false" outlineLevel="0" collapsed="false">
      <c r="A31" s="5" t="s">
        <v>35</v>
      </c>
      <c r="B31" s="6" t="n">
        <f aca="false">SUMIFS(Data!$E$2:$E$2227,Data!$A$2:$A$2227,$A31,Data!$B$2:$B$2227,2026,Data!$C$2:$C$2227,9)</f>
        <v>176195.28</v>
      </c>
      <c r="C31" s="7" t="n">
        <f aca="false">COUNTIFS(Data!$A$2:$A$2227,$A31,Data!$E$2:$E$2227,"&gt;"&amp;B31)+1</f>
        <v>2</v>
      </c>
      <c r="D31" s="6" t="n">
        <f aca="false">SUMPRODUCT(MAX((Data!$A$2:$A$2227=$A31)*Data!$E$2:$E$2227))</f>
        <v>187252.61</v>
      </c>
      <c r="E31" s="6" t="n">
        <f aca="false">SUMIFS(Data!$F$2:$F$2227,Data!$A$2:$A$2227,$A31,Data!$B$2:$B$2227,2026,Data!$C$2:$C$2227,9)</f>
        <v>120419.48</v>
      </c>
      <c r="F31" s="7" t="n">
        <f aca="false">COUNTIFS(Data!$A$2:$A$2227,$A31,Data!$F$2:$F$2227,"&gt;"&amp;E31)+1</f>
        <v>2</v>
      </c>
      <c r="G31" s="6" t="n">
        <f aca="false">SUMPRODUCT(MAX((Data!$A$2:$A$2227=$A31)*Data!$F$2:$F$2227))</f>
        <v>133836.88</v>
      </c>
      <c r="H31" s="6" t="n">
        <f aca="false">SUMIFS(Data!$G$2:$G$2227,Data!$A$2:$A$2227,$A31,Data!$B$2:$B$2227,2026,Data!$C$2:$C$2227,9)</f>
        <v>296614.76</v>
      </c>
      <c r="I31" s="7" t="n">
        <f aca="false">COUNTIFS(Data!$A$2:$A$2227,$A31,Data!$G$2:$G$2227,"&gt;"&amp;H31)+1</f>
        <v>2</v>
      </c>
      <c r="J31" s="6" t="n">
        <f aca="false">SUMPRODUCT(MAX((Data!$A$2:$A$2227=$A31)*Data!$G$2:$G$2227))</f>
        <v>321089.49</v>
      </c>
    </row>
    <row r="32" customFormat="false" ht="15" hidden="false" customHeight="false" outlineLevel="0" collapsed="false">
      <c r="A32" s="5" t="s">
        <v>36</v>
      </c>
      <c r="B32" s="8" t="n">
        <f aca="false">SUMIFS(Data!$E$2:$E$2227,Data!$A$2:$A$2227,$A32,Data!$B$2:$B$2227,2026,Data!$C$2:$C$2227,9)</f>
        <v>179392.89</v>
      </c>
      <c r="C32" s="9" t="n">
        <f aca="false">COUNTIFS(Data!$A$2:$A$2227,$A32,Data!$E$2:$E$2227,"&gt;"&amp;B32)+1</f>
        <v>1</v>
      </c>
      <c r="D32" s="6" t="n">
        <f aca="false">SUMPRODUCT(MAX((Data!$A$2:$A$2227=$A32)*Data!$E$2:$E$2227))</f>
        <v>179392.89</v>
      </c>
      <c r="E32" s="6" t="n">
        <f aca="false">SUMIFS(Data!$F$2:$F$2227,Data!$A$2:$A$2227,$A32,Data!$B$2:$B$2227,2026,Data!$C$2:$C$2227,9)</f>
        <v>108420.24</v>
      </c>
      <c r="F32" s="7" t="n">
        <f aca="false">COUNTIFS(Data!$A$2:$A$2227,$A32,Data!$F$2:$F$2227,"&gt;"&amp;E32)+1</f>
        <v>18</v>
      </c>
      <c r="G32" s="6" t="n">
        <f aca="false">SUMPRODUCT(MAX((Data!$A$2:$A$2227=$A32)*Data!$F$2:$F$2227))</f>
        <v>156350.52</v>
      </c>
      <c r="H32" s="6" t="n">
        <f aca="false">SUMIFS(Data!$G$2:$G$2227,Data!$A$2:$A$2227,$A32,Data!$B$2:$B$2227,2026,Data!$C$2:$C$2227,9)</f>
        <v>287813.13</v>
      </c>
      <c r="I32" s="7" t="n">
        <f aca="false">COUNTIFS(Data!$A$2:$A$2227,$A32,Data!$G$2:$G$2227,"&gt;"&amp;H32)+1</f>
        <v>2</v>
      </c>
      <c r="J32" s="6" t="n">
        <f aca="false">SUMPRODUCT(MAX((Data!$A$2:$A$2227=$A32)*Data!$G$2:$G$2227))</f>
        <v>293058.45</v>
      </c>
    </row>
    <row r="33" customFormat="false" ht="15" hidden="false" customHeight="false" outlineLevel="0" collapsed="false">
      <c r="A33" s="5" t="s">
        <v>37</v>
      </c>
      <c r="B33" s="6" t="n">
        <f aca="false">SUMIFS(Data!$E$2:$E$2227,Data!$A$2:$A$2227,$A33,Data!$B$2:$B$2227,2026,Data!$C$2:$C$2227,9)</f>
        <v>150097.59</v>
      </c>
      <c r="C33" s="7" t="n">
        <f aca="false">COUNTIFS(Data!$A$2:$A$2227,$A33,Data!$E$2:$E$2227,"&gt;"&amp;B33)+1</f>
        <v>17</v>
      </c>
      <c r="D33" s="6" t="n">
        <f aca="false">SUMPRODUCT(MAX((Data!$A$2:$A$2227=$A33)*Data!$E$2:$E$2227))</f>
        <v>181056.53</v>
      </c>
      <c r="E33" s="6" t="n">
        <f aca="false">SUMIFS(Data!$F$2:$F$2227,Data!$A$2:$A$2227,$A33,Data!$B$2:$B$2227,2026,Data!$C$2:$C$2227,9)</f>
        <v>110304.77</v>
      </c>
      <c r="F33" s="7" t="n">
        <f aca="false">COUNTIFS(Data!$A$2:$A$2227,$A33,Data!$F$2:$F$2227,"&gt;"&amp;E33)+1</f>
        <v>12</v>
      </c>
      <c r="G33" s="6" t="n">
        <f aca="false">SUMPRODUCT(MAX((Data!$A$2:$A$2227=$A33)*Data!$F$2:$F$2227))</f>
        <v>147987.17</v>
      </c>
      <c r="H33" s="6" t="n">
        <f aca="false">SUMIFS(Data!$G$2:$G$2227,Data!$A$2:$A$2227,$A33,Data!$B$2:$B$2227,2026,Data!$C$2:$C$2227,9)</f>
        <v>260402.36</v>
      </c>
      <c r="I33" s="7" t="n">
        <f aca="false">COUNTIFS(Data!$A$2:$A$2227,$A33,Data!$G$2:$G$2227,"&gt;"&amp;H33)+1</f>
        <v>15</v>
      </c>
      <c r="J33" s="6" t="n">
        <f aca="false">SUMPRODUCT(MAX((Data!$A$2:$A$2227=$A33)*Data!$G$2:$G$2227))</f>
        <v>313836.17</v>
      </c>
    </row>
    <row r="34" customFormat="false" ht="15" hidden="false" customHeight="false" outlineLevel="0" collapsed="false">
      <c r="A34" s="5" t="s">
        <v>38</v>
      </c>
      <c r="B34" s="6" t="n">
        <f aca="false">SUMIFS(Data!$E$2:$E$2227,Data!$A$2:$A$2227,$A34,Data!$B$2:$B$2227,2026,Data!$C$2:$C$2227,9)</f>
        <v>153086.41</v>
      </c>
      <c r="C34" s="7" t="n">
        <f aca="false">COUNTIFS(Data!$A$2:$A$2227,$A34,Data!$E$2:$E$2227,"&gt;"&amp;B34)+1</f>
        <v>16</v>
      </c>
      <c r="D34" s="6" t="n">
        <f aca="false">SUMPRODUCT(MAX((Data!$A$2:$A$2227=$A34)*Data!$E$2:$E$2227))</f>
        <v>203772.4</v>
      </c>
      <c r="E34" s="6" t="n">
        <f aca="false">SUMIFS(Data!$F$2:$F$2227,Data!$A$2:$A$2227,$A34,Data!$B$2:$B$2227,2026,Data!$C$2:$C$2227,9)</f>
        <v>73952.05</v>
      </c>
      <c r="F34" s="7" t="n">
        <f aca="false">COUNTIFS(Data!$A$2:$A$2227,$A34,Data!$F$2:$F$2227,"&gt;"&amp;E34)+1</f>
        <v>38</v>
      </c>
      <c r="G34" s="6" t="n">
        <f aca="false">SUMPRODUCT(MAX((Data!$A$2:$A$2227=$A34)*Data!$F$2:$F$2227))</f>
        <v>121731.12</v>
      </c>
      <c r="H34" s="6" t="n">
        <f aca="false">SUMIFS(Data!$G$2:$G$2227,Data!$A$2:$A$2227,$A34,Data!$B$2:$B$2227,2026,Data!$C$2:$C$2227,9)</f>
        <v>227038.46</v>
      </c>
      <c r="I34" s="7" t="n">
        <f aca="false">COUNTIFS(Data!$A$2:$A$2227,$A34,Data!$G$2:$G$2227,"&gt;"&amp;H34)+1</f>
        <v>23</v>
      </c>
      <c r="J34" s="6" t="n">
        <f aca="false">SUMPRODUCT(MAX((Data!$A$2:$A$2227=$A34)*Data!$G$2:$G$2227))</f>
        <v>311908.9</v>
      </c>
    </row>
    <row r="35" customFormat="false" ht="15" hidden="false" customHeight="false" outlineLevel="0" collapsed="false">
      <c r="A35" s="5" t="s">
        <v>39</v>
      </c>
      <c r="B35" s="6" t="n">
        <f aca="false">SUMIFS(Data!$E$2:$E$2227,Data!$A$2:$A$2227,$A35,Data!$B$2:$B$2227,2026,Data!$C$2:$C$2227,9)</f>
        <v>122989.64</v>
      </c>
      <c r="C35" s="7" t="n">
        <f aca="false">COUNTIFS(Data!$A$2:$A$2227,$A35,Data!$E$2:$E$2227,"&gt;"&amp;B35)+1</f>
        <v>14</v>
      </c>
      <c r="D35" s="6" t="n">
        <f aca="false">SUMPRODUCT(MAX((Data!$A$2:$A$2227=$A35)*Data!$E$2:$E$2227))</f>
        <v>144462.19</v>
      </c>
      <c r="E35" s="6" t="n">
        <f aca="false">SUMIFS(Data!$F$2:$F$2227,Data!$A$2:$A$2227,$A35,Data!$B$2:$B$2227,2026,Data!$C$2:$C$2227,9)</f>
        <v>71130.14</v>
      </c>
      <c r="F35" s="7" t="n">
        <f aca="false">COUNTIFS(Data!$A$2:$A$2227,$A35,Data!$F$2:$F$2227,"&gt;"&amp;E35)+1</f>
        <v>4</v>
      </c>
      <c r="G35" s="6" t="n">
        <f aca="false">SUMPRODUCT(MAX((Data!$A$2:$A$2227=$A35)*Data!$F$2:$F$2227))</f>
        <v>72308.87</v>
      </c>
      <c r="H35" s="6" t="n">
        <f aca="false">SUMIFS(Data!$G$2:$G$2227,Data!$A$2:$A$2227,$A35,Data!$B$2:$B$2227,2026,Data!$C$2:$C$2227,9)</f>
        <v>194119.78</v>
      </c>
      <c r="I35" s="7" t="n">
        <f aca="false">COUNTIFS(Data!$A$2:$A$2227,$A35,Data!$G$2:$G$2227,"&gt;"&amp;H35)+1</f>
        <v>7</v>
      </c>
      <c r="J35" s="6" t="n">
        <f aca="false">SUMPRODUCT(MAX((Data!$A$2:$A$2227=$A35)*Data!$G$2:$G$2227))</f>
        <v>206617.13</v>
      </c>
    </row>
    <row r="36" customFormat="false" ht="15" hidden="false" customHeight="false" outlineLevel="0" collapsed="false">
      <c r="A36" s="5" t="s">
        <v>40</v>
      </c>
      <c r="B36" s="6" t="n">
        <f aca="false">SUMIFS(Data!$E$2:$E$2227,Data!$A$2:$A$2227,$A36,Data!$B$2:$B$2227,2026,Data!$C$2:$C$2227,9)</f>
        <v>119981.01</v>
      </c>
      <c r="C36" s="7" t="n">
        <f aca="false">COUNTIFS(Data!$A$2:$A$2227,$A36,Data!$E$2:$E$2227,"&gt;"&amp;B36)+1</f>
        <v>4</v>
      </c>
      <c r="D36" s="6" t="n">
        <f aca="false">SUMPRODUCT(MAX((Data!$A$2:$A$2227=$A36)*Data!$E$2:$E$2227))</f>
        <v>142107.98</v>
      </c>
      <c r="E36" s="6" t="n">
        <f aca="false">SUMIFS(Data!$F$2:$F$2227,Data!$A$2:$A$2227,$A36,Data!$B$2:$B$2227,2026,Data!$C$2:$C$2227,9)</f>
        <v>59513.37</v>
      </c>
      <c r="F36" s="7" t="n">
        <f aca="false">COUNTIFS(Data!$A$2:$A$2227,$A36,Data!$F$2:$F$2227,"&gt;"&amp;E36)+1</f>
        <v>10</v>
      </c>
      <c r="G36" s="6" t="n">
        <f aca="false">SUMPRODUCT(MAX((Data!$A$2:$A$2227=$A36)*Data!$F$2:$F$2227))</f>
        <v>78002.06</v>
      </c>
      <c r="H36" s="6" t="n">
        <f aca="false">SUMIFS(Data!$G$2:$G$2227,Data!$A$2:$A$2227,$A36,Data!$B$2:$B$2227,2026,Data!$C$2:$C$2227,9)</f>
        <v>179494.38</v>
      </c>
      <c r="I36" s="7" t="n">
        <f aca="false">COUNTIFS(Data!$A$2:$A$2227,$A36,Data!$G$2:$G$2227,"&gt;"&amp;H36)+1</f>
        <v>3</v>
      </c>
      <c r="J36" s="6" t="n">
        <f aca="false">SUMPRODUCT(MAX((Data!$A$2:$A$2227=$A36)*Data!$G$2:$G$2227))</f>
        <v>206377.29</v>
      </c>
    </row>
    <row r="37" customFormat="false" ht="15" hidden="false" customHeight="false" outlineLevel="0" collapsed="false">
      <c r="A37" s="5" t="s">
        <v>41</v>
      </c>
      <c r="B37" s="6" t="n">
        <f aca="false">SUMIFS(Data!$E$2:$E$2227,Data!$A$2:$A$2227,$A37,Data!$B$2:$B$2227,2026,Data!$C$2:$C$2227,9)</f>
        <v>60424.61</v>
      </c>
      <c r="C37" s="7" t="n">
        <f aca="false">COUNTIFS(Data!$A$2:$A$2227,$A37,Data!$E$2:$E$2227,"&gt;"&amp;B37)+1</f>
        <v>60</v>
      </c>
      <c r="D37" s="6" t="n">
        <f aca="false">SUMPRODUCT(MAX((Data!$A$2:$A$2227=$A37)*Data!$E$2:$E$2227))</f>
        <v>102033.74</v>
      </c>
      <c r="E37" s="6" t="n">
        <f aca="false">SUMIFS(Data!$F$2:$F$2227,Data!$A$2:$A$2227,$A37,Data!$B$2:$B$2227,2026,Data!$C$2:$C$2227,9)</f>
        <v>39703.76</v>
      </c>
      <c r="F37" s="7" t="n">
        <f aca="false">COUNTIFS(Data!$A$2:$A$2227,$A37,Data!$F$2:$F$2227,"&gt;"&amp;E37)+1</f>
        <v>59</v>
      </c>
      <c r="G37" s="6" t="n">
        <f aca="false">SUMPRODUCT(MAX((Data!$A$2:$A$2227=$A37)*Data!$F$2:$F$2227))</f>
        <v>67802.44</v>
      </c>
      <c r="H37" s="6" t="n">
        <f aca="false">SUMIFS(Data!$G$2:$G$2227,Data!$A$2:$A$2227,$A37,Data!$B$2:$B$2227,2026,Data!$C$2:$C$2227,9)</f>
        <v>100128.37</v>
      </c>
      <c r="I37" s="7" t="n">
        <f aca="false">COUNTIFS(Data!$A$2:$A$2227,$A37,Data!$G$2:$G$2227,"&gt;"&amp;H37)+1</f>
        <v>60</v>
      </c>
      <c r="J37" s="6" t="n">
        <f aca="false">SUMPRODUCT(MAX((Data!$A$2:$A$2227=$A37)*Data!$G$2:$G$2227))</f>
        <v>167273.14</v>
      </c>
    </row>
    <row r="38" customFormat="false" ht="15" hidden="false" customHeight="false" outlineLevel="0" collapsed="false">
      <c r="A38" s="5" t="s">
        <v>42</v>
      </c>
      <c r="B38" s="6" t="n">
        <f aca="false">SUMIFS(Data!$E$2:$E$2227,Data!$A$2:$A$2227,$A38,Data!$B$2:$B$2227,2026,Data!$C$2:$C$2227,9)</f>
        <v>27751.31</v>
      </c>
      <c r="C38" s="7" t="n">
        <f aca="false">COUNTIFS(Data!$A$2:$A$2227,$A38,Data!$E$2:$E$2227,"&gt;"&amp;B38)+1</f>
        <v>6</v>
      </c>
      <c r="D38" s="6" t="n">
        <f aca="false">SUMPRODUCT(MAX((Data!$A$2:$A$2227=$A38)*Data!$E$2:$E$2227))</f>
        <v>41289.23</v>
      </c>
      <c r="E38" s="6" t="n">
        <f aca="false">SUMIFS(Data!$F$2:$F$2227,Data!$A$2:$A$2227,$A38,Data!$B$2:$B$2227,2026,Data!$C$2:$C$2227,9)</f>
        <v>10209.71</v>
      </c>
      <c r="F38" s="7" t="n">
        <f aca="false">COUNTIFS(Data!$A$2:$A$2227,$A38,Data!$F$2:$F$2227,"&gt;"&amp;E38)+1</f>
        <v>5</v>
      </c>
      <c r="G38" s="6" t="n">
        <f aca="false">SUMPRODUCT(MAX((Data!$A$2:$A$2227=$A38)*Data!$F$2:$F$2227))</f>
        <v>19564.01</v>
      </c>
      <c r="H38" s="6" t="n">
        <f aca="false">SUMIFS(Data!$G$2:$G$2227,Data!$A$2:$A$2227,$A38,Data!$B$2:$B$2227,2026,Data!$C$2:$C$2227,9)</f>
        <v>37961.02</v>
      </c>
      <c r="I38" s="7" t="n">
        <f aca="false">COUNTIFS(Data!$A$2:$A$2227,$A38,Data!$G$2:$G$2227,"&gt;"&amp;H38)+1</f>
        <v>7</v>
      </c>
      <c r="J38" s="6" t="n">
        <f aca="false">SUMPRODUCT(MAX((Data!$A$2:$A$2227=$A38)*Data!$G$2:$G$2227))</f>
        <v>49994.81</v>
      </c>
    </row>
    <row r="39" customFormat="false" ht="15" hidden="false" customHeight="false" outlineLevel="0" collapsed="false">
      <c r="A39" s="10" t="s">
        <v>43</v>
      </c>
      <c r="B39" s="11" t="n">
        <f aca="false">SUM(B5:B38)</f>
        <v>13995339.49</v>
      </c>
      <c r="C39" s="12"/>
      <c r="D39" s="12"/>
      <c r="E39" s="11" t="n">
        <f aca="false">SUM(E5:E38)</f>
        <v>7185937.76</v>
      </c>
      <c r="F39" s="12"/>
      <c r="G39" s="12"/>
      <c r="H39" s="11" t="n">
        <f aca="false">SUM(H5:H38)</f>
        <v>21181277.25</v>
      </c>
      <c r="I39" s="12"/>
      <c r="J39" s="12"/>
    </row>
  </sheetData>
  <mergeCells count="3">
    <mergeCell ref="B3:D3"/>
    <mergeCell ref="E3:G3"/>
    <mergeCell ref="H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7" min="5" style="0" width="12"/>
  </cols>
  <sheetData>
    <row r="1" customFormat="false" ht="15" hidden="false" customHeight="false" outlineLevel="0" collapsed="false">
      <c r="A1" s="13" t="s">
        <v>5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</row>
    <row r="2" customFormat="false" ht="15" hidden="false" customHeight="false" outlineLevel="0" collapsed="false">
      <c r="A2" s="14" t="s">
        <v>34</v>
      </c>
      <c r="B2" s="14" t="n">
        <v>2021</v>
      </c>
      <c r="C2" s="14" t="n">
        <v>1</v>
      </c>
      <c r="D2" s="14" t="s">
        <v>50</v>
      </c>
      <c r="E2" s="15" t="n">
        <v>96587.12</v>
      </c>
      <c r="F2" s="15" t="n">
        <v>48693.61</v>
      </c>
      <c r="G2" s="16" t="n">
        <f aca="false">ROUND(E2+F2,2)</f>
        <v>145280.73</v>
      </c>
    </row>
    <row r="3" customFormat="false" ht="15" hidden="false" customHeight="false" outlineLevel="0" collapsed="false">
      <c r="A3" s="14" t="s">
        <v>34</v>
      </c>
      <c r="B3" s="14" t="n">
        <v>2021</v>
      </c>
      <c r="C3" s="14" t="n">
        <v>2</v>
      </c>
      <c r="D3" s="14" t="s">
        <v>51</v>
      </c>
      <c r="E3" s="15" t="n">
        <v>102839.16</v>
      </c>
      <c r="F3" s="15" t="n">
        <v>47313.63</v>
      </c>
      <c r="G3" s="16" t="n">
        <f aca="false">ROUND(E3+F3,2)</f>
        <v>150152.79</v>
      </c>
    </row>
    <row r="4" customFormat="false" ht="15" hidden="false" customHeight="false" outlineLevel="0" collapsed="false">
      <c r="A4" s="14" t="s">
        <v>34</v>
      </c>
      <c r="B4" s="14" t="n">
        <v>2021</v>
      </c>
      <c r="C4" s="14" t="n">
        <v>3</v>
      </c>
      <c r="D4" s="14" t="s">
        <v>52</v>
      </c>
      <c r="E4" s="15" t="n">
        <v>133784.8</v>
      </c>
      <c r="F4" s="15" t="n">
        <v>57071.76</v>
      </c>
      <c r="G4" s="16" t="n">
        <f aca="false">ROUND(E4+F4,2)</f>
        <v>190856.56</v>
      </c>
    </row>
    <row r="5" customFormat="false" ht="15" hidden="false" customHeight="false" outlineLevel="0" collapsed="false">
      <c r="A5" s="14" t="s">
        <v>34</v>
      </c>
      <c r="B5" s="14" t="n">
        <v>2021</v>
      </c>
      <c r="C5" s="14" t="n">
        <v>4</v>
      </c>
      <c r="D5" s="14" t="s">
        <v>53</v>
      </c>
      <c r="E5" s="15" t="n">
        <v>148721.29</v>
      </c>
      <c r="F5" s="15" t="n">
        <v>64988.91</v>
      </c>
      <c r="G5" s="16" t="n">
        <f aca="false">ROUND(E5+F5,2)</f>
        <v>213710.2</v>
      </c>
    </row>
    <row r="6" customFormat="false" ht="15" hidden="false" customHeight="false" outlineLevel="0" collapsed="false">
      <c r="A6" s="14" t="s">
        <v>34</v>
      </c>
      <c r="B6" s="14" t="n">
        <v>2021</v>
      </c>
      <c r="C6" s="14" t="n">
        <v>5</v>
      </c>
      <c r="D6" s="14" t="s">
        <v>54</v>
      </c>
      <c r="E6" s="15" t="n">
        <v>160742.38</v>
      </c>
      <c r="F6" s="15" t="n">
        <v>64206.03</v>
      </c>
      <c r="G6" s="16" t="n">
        <f aca="false">ROUND(E6+F6,2)</f>
        <v>224948.41</v>
      </c>
    </row>
    <row r="7" customFormat="false" ht="15" hidden="false" customHeight="false" outlineLevel="0" collapsed="false">
      <c r="A7" s="14" t="s">
        <v>34</v>
      </c>
      <c r="B7" s="14" t="n">
        <v>2021</v>
      </c>
      <c r="C7" s="14" t="n">
        <v>6</v>
      </c>
      <c r="D7" s="14" t="s">
        <v>55</v>
      </c>
      <c r="E7" s="15" t="n">
        <v>173053.33</v>
      </c>
      <c r="F7" s="15" t="n">
        <v>66681.92</v>
      </c>
      <c r="G7" s="16" t="n">
        <f aca="false">ROUND(E7+F7,2)</f>
        <v>239735.25</v>
      </c>
    </row>
    <row r="8" customFormat="false" ht="15" hidden="false" customHeight="false" outlineLevel="0" collapsed="false">
      <c r="A8" s="14" t="s">
        <v>34</v>
      </c>
      <c r="B8" s="14" t="n">
        <v>2021</v>
      </c>
      <c r="C8" s="14" t="n">
        <v>7</v>
      </c>
      <c r="D8" s="14" t="s">
        <v>56</v>
      </c>
      <c r="E8" s="15" t="n">
        <v>170764.64</v>
      </c>
      <c r="F8" s="15" t="n">
        <v>69789.07</v>
      </c>
      <c r="G8" s="16" t="n">
        <f aca="false">ROUND(E8+F8,2)</f>
        <v>240553.71</v>
      </c>
    </row>
    <row r="9" customFormat="false" ht="15" hidden="false" customHeight="false" outlineLevel="0" collapsed="false">
      <c r="A9" s="14" t="s">
        <v>34</v>
      </c>
      <c r="B9" s="14" t="n">
        <v>2021</v>
      </c>
      <c r="C9" s="14" t="n">
        <v>8</v>
      </c>
      <c r="D9" s="14" t="s">
        <v>57</v>
      </c>
      <c r="E9" s="15" t="n">
        <v>145871.15</v>
      </c>
      <c r="F9" s="15" t="n">
        <v>63595.82</v>
      </c>
      <c r="G9" s="16" t="n">
        <f aca="false">ROUND(E9+F9,2)</f>
        <v>209466.97</v>
      </c>
    </row>
    <row r="10" customFormat="false" ht="15" hidden="false" customHeight="false" outlineLevel="0" collapsed="false">
      <c r="A10" s="14" t="s">
        <v>34</v>
      </c>
      <c r="B10" s="14" t="n">
        <v>2021</v>
      </c>
      <c r="C10" s="14" t="n">
        <v>9</v>
      </c>
      <c r="D10" s="14" t="s">
        <v>58</v>
      </c>
      <c r="E10" s="15" t="n">
        <v>142955</v>
      </c>
      <c r="F10" s="15" t="n">
        <v>70771.79</v>
      </c>
      <c r="G10" s="16" t="n">
        <f aca="false">ROUND(E10+F10,2)</f>
        <v>213726.79</v>
      </c>
    </row>
    <row r="11" customFormat="false" ht="15" hidden="false" customHeight="false" outlineLevel="0" collapsed="false">
      <c r="A11" s="14" t="s">
        <v>34</v>
      </c>
      <c r="B11" s="14" t="n">
        <v>2021</v>
      </c>
      <c r="C11" s="14" t="n">
        <v>10</v>
      </c>
      <c r="D11" s="14" t="s">
        <v>59</v>
      </c>
      <c r="E11" s="15" t="n">
        <v>135088.56</v>
      </c>
      <c r="F11" s="15" t="n">
        <v>60731.76</v>
      </c>
      <c r="G11" s="16" t="n">
        <f aca="false">ROUND(E11+F11,2)</f>
        <v>195820.32</v>
      </c>
    </row>
    <row r="12" customFormat="false" ht="15" hidden="false" customHeight="false" outlineLevel="0" collapsed="false">
      <c r="A12" s="14" t="s">
        <v>34</v>
      </c>
      <c r="B12" s="14" t="n">
        <v>2021</v>
      </c>
      <c r="C12" s="14" t="n">
        <v>11</v>
      </c>
      <c r="D12" s="14" t="s">
        <v>60</v>
      </c>
      <c r="E12" s="15" t="n">
        <v>125046.28</v>
      </c>
      <c r="F12" s="15" t="n">
        <v>64554.01</v>
      </c>
      <c r="G12" s="16" t="n">
        <f aca="false">ROUND(E12+F12,2)</f>
        <v>189600.29</v>
      </c>
    </row>
    <row r="13" customFormat="false" ht="15" hidden="false" customHeight="false" outlineLevel="0" collapsed="false">
      <c r="A13" s="14" t="s">
        <v>34</v>
      </c>
      <c r="B13" s="14" t="n">
        <v>2021</v>
      </c>
      <c r="C13" s="14" t="n">
        <v>12</v>
      </c>
      <c r="D13" s="14" t="s">
        <v>61</v>
      </c>
      <c r="E13" s="15" t="n">
        <v>137106.67</v>
      </c>
      <c r="F13" s="15" t="n">
        <v>74010.46</v>
      </c>
      <c r="G13" s="16" t="n">
        <f aca="false">ROUND(E13+F13,2)</f>
        <v>211117.13</v>
      </c>
    </row>
    <row r="14" customFormat="false" ht="15" hidden="false" customHeight="false" outlineLevel="0" collapsed="false">
      <c r="A14" s="14" t="s">
        <v>34</v>
      </c>
      <c r="B14" s="14" t="n">
        <v>2022</v>
      </c>
      <c r="C14" s="14" t="n">
        <v>1</v>
      </c>
      <c r="D14" s="14" t="s">
        <v>50</v>
      </c>
      <c r="E14" s="15" t="n">
        <v>157386.7</v>
      </c>
      <c r="F14" s="15" t="n">
        <v>65692.26</v>
      </c>
      <c r="G14" s="16" t="n">
        <f aca="false">ROUND(E14+F14,2)</f>
        <v>223078.96</v>
      </c>
    </row>
    <row r="15" customFormat="false" ht="15" hidden="false" customHeight="false" outlineLevel="0" collapsed="false">
      <c r="A15" s="14" t="s">
        <v>34</v>
      </c>
      <c r="B15" s="14" t="n">
        <v>2022</v>
      </c>
      <c r="C15" s="14" t="n">
        <v>2</v>
      </c>
      <c r="D15" s="14" t="s">
        <v>51</v>
      </c>
      <c r="E15" s="15" t="n">
        <v>159925.51</v>
      </c>
      <c r="F15" s="15" t="n">
        <v>68934.52</v>
      </c>
      <c r="G15" s="16" t="n">
        <f aca="false">ROUND(E15+F15,2)</f>
        <v>228860.03</v>
      </c>
    </row>
    <row r="16" customFormat="false" ht="15" hidden="false" customHeight="false" outlineLevel="0" collapsed="false">
      <c r="A16" s="14" t="s">
        <v>34</v>
      </c>
      <c r="B16" s="14" t="n">
        <v>2022</v>
      </c>
      <c r="C16" s="14" t="n">
        <v>3</v>
      </c>
      <c r="D16" s="14" t="s">
        <v>52</v>
      </c>
      <c r="E16" s="15" t="n">
        <v>209495.71</v>
      </c>
      <c r="F16" s="15" t="n">
        <v>97219.73</v>
      </c>
      <c r="G16" s="16" t="n">
        <f aca="false">ROUND(E16+F16,2)</f>
        <v>306715.44</v>
      </c>
    </row>
    <row r="17" customFormat="false" ht="15" hidden="false" customHeight="false" outlineLevel="0" collapsed="false">
      <c r="A17" s="14" t="s">
        <v>34</v>
      </c>
      <c r="B17" s="14" t="n">
        <v>2022</v>
      </c>
      <c r="C17" s="14" t="n">
        <v>4</v>
      </c>
      <c r="D17" s="14" t="s">
        <v>53</v>
      </c>
      <c r="E17" s="15" t="n">
        <v>176334.04</v>
      </c>
      <c r="F17" s="15" t="n">
        <v>94528.92</v>
      </c>
      <c r="G17" s="16" t="n">
        <f aca="false">ROUND(E17+F17,2)</f>
        <v>270862.96</v>
      </c>
    </row>
    <row r="18" customFormat="false" ht="15" hidden="false" customHeight="false" outlineLevel="0" collapsed="false">
      <c r="A18" s="14" t="s">
        <v>34</v>
      </c>
      <c r="B18" s="14" t="n">
        <v>2022</v>
      </c>
      <c r="C18" s="14" t="n">
        <v>5</v>
      </c>
      <c r="D18" s="14" t="s">
        <v>54</v>
      </c>
      <c r="E18" s="15" t="n">
        <v>173426.22</v>
      </c>
      <c r="F18" s="15" t="n">
        <v>102960.88</v>
      </c>
      <c r="G18" s="16" t="n">
        <f aca="false">ROUND(E18+F18,2)</f>
        <v>276387.1</v>
      </c>
    </row>
    <row r="19" customFormat="false" ht="15" hidden="false" customHeight="false" outlineLevel="0" collapsed="false">
      <c r="A19" s="14" t="s">
        <v>34</v>
      </c>
      <c r="B19" s="14" t="n">
        <v>2022</v>
      </c>
      <c r="C19" s="14" t="n">
        <v>6</v>
      </c>
      <c r="D19" s="14" t="s">
        <v>55</v>
      </c>
      <c r="E19" s="15" t="n">
        <v>176779.74</v>
      </c>
      <c r="F19" s="15" t="n">
        <v>98651.39</v>
      </c>
      <c r="G19" s="16" t="n">
        <f aca="false">ROUND(E19+F19,2)</f>
        <v>275431.13</v>
      </c>
    </row>
    <row r="20" customFormat="false" ht="15" hidden="false" customHeight="false" outlineLevel="0" collapsed="false">
      <c r="A20" s="14" t="s">
        <v>34</v>
      </c>
      <c r="B20" s="14" t="n">
        <v>2022</v>
      </c>
      <c r="C20" s="14" t="n">
        <v>7</v>
      </c>
      <c r="D20" s="14" t="s">
        <v>56</v>
      </c>
      <c r="E20" s="15" t="n">
        <v>145262.63</v>
      </c>
      <c r="F20" s="15" t="n">
        <v>91115.95</v>
      </c>
      <c r="G20" s="16" t="n">
        <f aca="false">ROUND(E20+F20,2)</f>
        <v>236378.58</v>
      </c>
    </row>
    <row r="21" customFormat="false" ht="15" hidden="false" customHeight="false" outlineLevel="0" collapsed="false">
      <c r="A21" s="14" t="s">
        <v>34</v>
      </c>
      <c r="B21" s="14" t="n">
        <v>2022</v>
      </c>
      <c r="C21" s="14" t="n">
        <v>8</v>
      </c>
      <c r="D21" s="14" t="s">
        <v>57</v>
      </c>
      <c r="E21" s="15" t="n">
        <v>161679.39</v>
      </c>
      <c r="F21" s="15" t="n">
        <v>103741.87</v>
      </c>
      <c r="G21" s="16" t="n">
        <f aca="false">ROUND(E21+F21,2)</f>
        <v>265421.26</v>
      </c>
    </row>
    <row r="22" customFormat="false" ht="15" hidden="false" customHeight="false" outlineLevel="0" collapsed="false">
      <c r="A22" s="14" t="s">
        <v>34</v>
      </c>
      <c r="B22" s="14" t="n">
        <v>2022</v>
      </c>
      <c r="C22" s="14" t="n">
        <v>9</v>
      </c>
      <c r="D22" s="14" t="s">
        <v>58</v>
      </c>
      <c r="E22" s="15" t="n">
        <v>166423.42</v>
      </c>
      <c r="F22" s="15" t="n">
        <v>100587.69</v>
      </c>
      <c r="G22" s="16" t="n">
        <f aca="false">ROUND(E22+F22,2)</f>
        <v>267011.11</v>
      </c>
    </row>
    <row r="23" customFormat="false" ht="15" hidden="false" customHeight="false" outlineLevel="0" collapsed="false">
      <c r="A23" s="14" t="s">
        <v>34</v>
      </c>
      <c r="B23" s="14" t="n">
        <v>2022</v>
      </c>
      <c r="C23" s="14" t="n">
        <v>10</v>
      </c>
      <c r="D23" s="14" t="s">
        <v>59</v>
      </c>
      <c r="E23" s="15" t="n">
        <v>169148.06</v>
      </c>
      <c r="F23" s="15" t="n">
        <v>120401.48</v>
      </c>
      <c r="G23" s="16" t="n">
        <f aca="false">ROUND(E23+F23,2)</f>
        <v>289549.54</v>
      </c>
    </row>
    <row r="24" customFormat="false" ht="15" hidden="false" customHeight="false" outlineLevel="0" collapsed="false">
      <c r="A24" s="14" t="s">
        <v>34</v>
      </c>
      <c r="B24" s="14" t="n">
        <v>2022</v>
      </c>
      <c r="C24" s="14" t="n">
        <v>11</v>
      </c>
      <c r="D24" s="14" t="s">
        <v>60</v>
      </c>
      <c r="E24" s="15" t="n">
        <v>161678.74</v>
      </c>
      <c r="F24" s="15" t="n">
        <v>121942.21</v>
      </c>
      <c r="G24" s="16" t="n">
        <f aca="false">ROUND(E24+F24,2)</f>
        <v>283620.95</v>
      </c>
    </row>
    <row r="25" customFormat="false" ht="15" hidden="false" customHeight="false" outlineLevel="0" collapsed="false">
      <c r="A25" s="14" t="s">
        <v>34</v>
      </c>
      <c r="B25" s="14" t="n">
        <v>2022</v>
      </c>
      <c r="C25" s="14" t="n">
        <v>12</v>
      </c>
      <c r="D25" s="14" t="s">
        <v>61</v>
      </c>
      <c r="E25" s="15" t="n">
        <v>151900.28</v>
      </c>
      <c r="F25" s="15" t="n">
        <v>102824.01</v>
      </c>
      <c r="G25" s="16" t="n">
        <f aca="false">ROUND(E25+F25,2)</f>
        <v>254724.29</v>
      </c>
    </row>
    <row r="26" customFormat="false" ht="15" hidden="false" customHeight="false" outlineLevel="0" collapsed="false">
      <c r="A26" s="14" t="s">
        <v>34</v>
      </c>
      <c r="B26" s="14" t="n">
        <v>2023</v>
      </c>
      <c r="C26" s="14" t="n">
        <v>1</v>
      </c>
      <c r="D26" s="14" t="s">
        <v>50</v>
      </c>
      <c r="E26" s="15" t="n">
        <v>140618.04</v>
      </c>
      <c r="F26" s="15" t="n">
        <v>96766.86</v>
      </c>
      <c r="G26" s="16" t="n">
        <f aca="false">ROUND(E26+F26,2)</f>
        <v>237384.9</v>
      </c>
    </row>
    <row r="27" customFormat="false" ht="15" hidden="false" customHeight="false" outlineLevel="0" collapsed="false">
      <c r="A27" s="14" t="s">
        <v>34</v>
      </c>
      <c r="B27" s="14" t="n">
        <v>2023</v>
      </c>
      <c r="C27" s="14" t="n">
        <v>2</v>
      </c>
      <c r="D27" s="14" t="s">
        <v>51</v>
      </c>
      <c r="E27" s="15" t="n">
        <v>164190.16</v>
      </c>
      <c r="F27" s="15" t="n">
        <v>95768.57</v>
      </c>
      <c r="G27" s="16" t="n">
        <f aca="false">ROUND(E27+F27,2)</f>
        <v>259958.73</v>
      </c>
    </row>
    <row r="28" customFormat="false" ht="15" hidden="false" customHeight="false" outlineLevel="0" collapsed="false">
      <c r="A28" s="14" t="s">
        <v>34</v>
      </c>
      <c r="B28" s="14" t="n">
        <v>2023</v>
      </c>
      <c r="C28" s="14" t="n">
        <v>3</v>
      </c>
      <c r="D28" s="14" t="s">
        <v>52</v>
      </c>
      <c r="E28" s="15" t="n">
        <v>199638.13</v>
      </c>
      <c r="F28" s="15" t="n">
        <v>136225.8</v>
      </c>
      <c r="G28" s="16" t="n">
        <f aca="false">ROUND(E28+F28,2)</f>
        <v>335863.93</v>
      </c>
    </row>
    <row r="29" customFormat="false" ht="15" hidden="false" customHeight="false" outlineLevel="0" collapsed="false">
      <c r="A29" s="14" t="s">
        <v>34</v>
      </c>
      <c r="B29" s="14" t="n">
        <v>2023</v>
      </c>
      <c r="C29" s="14" t="n">
        <v>4</v>
      </c>
      <c r="D29" s="14" t="s">
        <v>53</v>
      </c>
      <c r="E29" s="15" t="n">
        <v>168250.14</v>
      </c>
      <c r="F29" s="15" t="n">
        <v>98613.51</v>
      </c>
      <c r="G29" s="16" t="n">
        <f aca="false">ROUND(E29+F29,2)</f>
        <v>266863.65</v>
      </c>
    </row>
    <row r="30" customFormat="false" ht="15" hidden="false" customHeight="false" outlineLevel="0" collapsed="false">
      <c r="A30" s="14" t="s">
        <v>34</v>
      </c>
      <c r="B30" s="14" t="n">
        <v>2023</v>
      </c>
      <c r="C30" s="14" t="n">
        <v>5</v>
      </c>
      <c r="D30" s="14" t="s">
        <v>54</v>
      </c>
      <c r="E30" s="15" t="n">
        <v>192724.93</v>
      </c>
      <c r="F30" s="15" t="n">
        <v>113596.54</v>
      </c>
      <c r="G30" s="16" t="n">
        <f aca="false">ROUND(E30+F30,2)</f>
        <v>306321.47</v>
      </c>
    </row>
    <row r="31" customFormat="false" ht="15" hidden="false" customHeight="false" outlineLevel="0" collapsed="false">
      <c r="A31" s="14" t="s">
        <v>34</v>
      </c>
      <c r="B31" s="14" t="n">
        <v>2023</v>
      </c>
      <c r="C31" s="14" t="n">
        <v>6</v>
      </c>
      <c r="D31" s="14" t="s">
        <v>55</v>
      </c>
      <c r="E31" s="15" t="n">
        <v>190210.6</v>
      </c>
      <c r="F31" s="15" t="n">
        <v>118297.91</v>
      </c>
      <c r="G31" s="16" t="n">
        <f aca="false">ROUND(E31+F31,2)</f>
        <v>308508.51</v>
      </c>
    </row>
    <row r="32" customFormat="false" ht="15" hidden="false" customHeight="false" outlineLevel="0" collapsed="false">
      <c r="A32" s="14" t="s">
        <v>34</v>
      </c>
      <c r="B32" s="14" t="n">
        <v>2023</v>
      </c>
      <c r="C32" s="14" t="n">
        <v>7</v>
      </c>
      <c r="D32" s="14" t="s">
        <v>56</v>
      </c>
      <c r="E32" s="15" t="n">
        <v>177135.97</v>
      </c>
      <c r="F32" s="15" t="n">
        <v>117850.2</v>
      </c>
      <c r="G32" s="16" t="n">
        <f aca="false">ROUND(E32+F32,2)</f>
        <v>294986.17</v>
      </c>
    </row>
    <row r="33" customFormat="false" ht="15" hidden="false" customHeight="false" outlineLevel="0" collapsed="false">
      <c r="A33" s="14" t="s">
        <v>34</v>
      </c>
      <c r="B33" s="14" t="n">
        <v>2023</v>
      </c>
      <c r="C33" s="14" t="n">
        <v>8</v>
      </c>
      <c r="D33" s="14" t="s">
        <v>57</v>
      </c>
      <c r="E33" s="15" t="n">
        <v>184346.54</v>
      </c>
      <c r="F33" s="15" t="n">
        <v>126888</v>
      </c>
      <c r="G33" s="16" t="n">
        <f aca="false">ROUND(E33+F33,2)</f>
        <v>311234.54</v>
      </c>
    </row>
    <row r="34" customFormat="false" ht="15" hidden="false" customHeight="false" outlineLevel="0" collapsed="false">
      <c r="A34" s="14" t="s">
        <v>34</v>
      </c>
      <c r="B34" s="14" t="n">
        <v>2023</v>
      </c>
      <c r="C34" s="14" t="n">
        <v>9</v>
      </c>
      <c r="D34" s="14" t="s">
        <v>58</v>
      </c>
      <c r="E34" s="15" t="n">
        <v>176597.38</v>
      </c>
      <c r="F34" s="15" t="n">
        <v>115856.25</v>
      </c>
      <c r="G34" s="16" t="n">
        <f aca="false">ROUND(E34+F34,2)</f>
        <v>292453.63</v>
      </c>
    </row>
    <row r="35" customFormat="false" ht="15" hidden="false" customHeight="false" outlineLevel="0" collapsed="false">
      <c r="A35" s="14" t="s">
        <v>34</v>
      </c>
      <c r="B35" s="14" t="n">
        <v>2023</v>
      </c>
      <c r="C35" s="14" t="n">
        <v>10</v>
      </c>
      <c r="D35" s="14" t="s">
        <v>59</v>
      </c>
      <c r="E35" s="15" t="n">
        <v>188859.83</v>
      </c>
      <c r="F35" s="15" t="n">
        <v>154955.47</v>
      </c>
      <c r="G35" s="16" t="n">
        <f aca="false">ROUND(E35+F35,2)</f>
        <v>343815.3</v>
      </c>
    </row>
    <row r="36" customFormat="false" ht="15" hidden="false" customHeight="false" outlineLevel="0" collapsed="false">
      <c r="A36" s="14" t="s">
        <v>34</v>
      </c>
      <c r="B36" s="14" t="n">
        <v>2023</v>
      </c>
      <c r="C36" s="14" t="n">
        <v>11</v>
      </c>
      <c r="D36" s="14" t="s">
        <v>60</v>
      </c>
      <c r="E36" s="15" t="n">
        <v>173776.94</v>
      </c>
      <c r="F36" s="15" t="n">
        <v>152211.41</v>
      </c>
      <c r="G36" s="16" t="n">
        <f aca="false">ROUND(E36+F36,2)</f>
        <v>325988.35</v>
      </c>
    </row>
    <row r="37" customFormat="false" ht="15" hidden="false" customHeight="false" outlineLevel="0" collapsed="false">
      <c r="A37" s="14" t="s">
        <v>34</v>
      </c>
      <c r="B37" s="14" t="n">
        <v>2023</v>
      </c>
      <c r="C37" s="14" t="n">
        <v>12</v>
      </c>
      <c r="D37" s="14" t="s">
        <v>61</v>
      </c>
      <c r="E37" s="15" t="n">
        <v>183838.07</v>
      </c>
      <c r="F37" s="15" t="n">
        <v>128519.3</v>
      </c>
      <c r="G37" s="16" t="n">
        <f aca="false">ROUND(E37+F37,2)</f>
        <v>312357.37</v>
      </c>
    </row>
    <row r="38" customFormat="false" ht="15" hidden="false" customHeight="false" outlineLevel="0" collapsed="false">
      <c r="A38" s="14" t="s">
        <v>34</v>
      </c>
      <c r="B38" s="14" t="n">
        <v>2024</v>
      </c>
      <c r="C38" s="14" t="n">
        <v>1</v>
      </c>
      <c r="D38" s="14" t="s">
        <v>50</v>
      </c>
      <c r="E38" s="15" t="n">
        <v>154952.86</v>
      </c>
      <c r="F38" s="15" t="n">
        <v>101391.88</v>
      </c>
      <c r="G38" s="16" t="n">
        <f aca="false">ROUND(E38+F38,2)</f>
        <v>256344.74</v>
      </c>
    </row>
    <row r="39" customFormat="false" ht="15" hidden="false" customHeight="false" outlineLevel="0" collapsed="false">
      <c r="A39" s="14" t="s">
        <v>34</v>
      </c>
      <c r="B39" s="14" t="n">
        <v>2024</v>
      </c>
      <c r="C39" s="14" t="n">
        <v>2</v>
      </c>
      <c r="D39" s="14" t="s">
        <v>51</v>
      </c>
      <c r="E39" s="15" t="n">
        <v>166701.34</v>
      </c>
      <c r="F39" s="15" t="n">
        <v>112257.78</v>
      </c>
      <c r="G39" s="16" t="n">
        <f aca="false">ROUND(E39+F39,2)</f>
        <v>278959.12</v>
      </c>
    </row>
    <row r="40" customFormat="false" ht="15" hidden="false" customHeight="false" outlineLevel="0" collapsed="false">
      <c r="A40" s="14" t="s">
        <v>34</v>
      </c>
      <c r="B40" s="14" t="n">
        <v>2024</v>
      </c>
      <c r="C40" s="14" t="n">
        <v>3</v>
      </c>
      <c r="D40" s="14" t="s">
        <v>52</v>
      </c>
      <c r="E40" s="15" t="n">
        <v>202178.43</v>
      </c>
      <c r="F40" s="15" t="n">
        <v>144201.84</v>
      </c>
      <c r="G40" s="16" t="n">
        <f aca="false">ROUND(E40+F40,2)</f>
        <v>346380.27</v>
      </c>
    </row>
    <row r="41" customFormat="false" ht="15" hidden="false" customHeight="false" outlineLevel="0" collapsed="false">
      <c r="A41" s="14" t="s">
        <v>34</v>
      </c>
      <c r="B41" s="14" t="n">
        <v>2024</v>
      </c>
      <c r="C41" s="14" t="n">
        <v>4</v>
      </c>
      <c r="D41" s="14" t="s">
        <v>53</v>
      </c>
      <c r="E41" s="15" t="n">
        <v>267267.15</v>
      </c>
      <c r="F41" s="15" t="n">
        <v>148893.28</v>
      </c>
      <c r="G41" s="16" t="n">
        <f aca="false">ROUND(E41+F41,2)</f>
        <v>416160.43</v>
      </c>
    </row>
    <row r="42" customFormat="false" ht="15" hidden="false" customHeight="false" outlineLevel="0" collapsed="false">
      <c r="A42" s="14" t="s">
        <v>34</v>
      </c>
      <c r="B42" s="14" t="n">
        <v>2024</v>
      </c>
      <c r="C42" s="14" t="n">
        <v>5</v>
      </c>
      <c r="D42" s="14" t="s">
        <v>54</v>
      </c>
      <c r="E42" s="15" t="n">
        <v>268382.5</v>
      </c>
      <c r="F42" s="15" t="n">
        <v>164794.43</v>
      </c>
      <c r="G42" s="16" t="n">
        <f aca="false">ROUND(E42+F42,2)</f>
        <v>433176.93</v>
      </c>
    </row>
    <row r="43" customFormat="false" ht="15" hidden="false" customHeight="false" outlineLevel="0" collapsed="false">
      <c r="A43" s="14" t="s">
        <v>34</v>
      </c>
      <c r="B43" s="14" t="n">
        <v>2024</v>
      </c>
      <c r="C43" s="14" t="n">
        <v>6</v>
      </c>
      <c r="D43" s="14" t="s">
        <v>55</v>
      </c>
      <c r="E43" s="15" t="n">
        <v>133208.86</v>
      </c>
      <c r="F43" s="15" t="n">
        <v>77707.37</v>
      </c>
      <c r="G43" s="16" t="n">
        <f aca="false">ROUND(E43+F43,2)</f>
        <v>210916.23</v>
      </c>
    </row>
    <row r="44" customFormat="false" ht="15" hidden="false" customHeight="false" outlineLevel="0" collapsed="false">
      <c r="A44" s="14" t="s">
        <v>34</v>
      </c>
      <c r="B44" s="14" t="n">
        <v>2024</v>
      </c>
      <c r="C44" s="14" t="n">
        <v>7</v>
      </c>
      <c r="D44" s="14" t="s">
        <v>56</v>
      </c>
      <c r="E44" s="15" t="n">
        <v>240157.58</v>
      </c>
      <c r="F44" s="15" t="n">
        <v>151966.47</v>
      </c>
      <c r="G44" s="16" t="n">
        <f aca="false">ROUND(E44+F44,2)</f>
        <v>392124.05</v>
      </c>
    </row>
    <row r="45" customFormat="false" ht="15" hidden="false" customHeight="false" outlineLevel="0" collapsed="false">
      <c r="A45" s="14" t="s">
        <v>34</v>
      </c>
      <c r="B45" s="14" t="n">
        <v>2024</v>
      </c>
      <c r="C45" s="14" t="n">
        <v>8</v>
      </c>
      <c r="D45" s="14" t="s">
        <v>57</v>
      </c>
      <c r="E45" s="15" t="n">
        <v>335716.74</v>
      </c>
      <c r="F45" s="15" t="n">
        <v>214183.42</v>
      </c>
      <c r="G45" s="16" t="n">
        <f aca="false">ROUND(E45+F45,2)</f>
        <v>549900.16</v>
      </c>
    </row>
    <row r="46" customFormat="false" ht="15" hidden="false" customHeight="false" outlineLevel="0" collapsed="false">
      <c r="A46" s="14" t="s">
        <v>34</v>
      </c>
      <c r="B46" s="14" t="n">
        <v>2024</v>
      </c>
      <c r="C46" s="14" t="n">
        <v>9</v>
      </c>
      <c r="D46" s="14" t="s">
        <v>58</v>
      </c>
      <c r="E46" s="15" t="n">
        <v>267754.49</v>
      </c>
      <c r="F46" s="15" t="n">
        <v>164312.04</v>
      </c>
      <c r="G46" s="16" t="n">
        <f aca="false">ROUND(E46+F46,2)</f>
        <v>432066.53</v>
      </c>
    </row>
    <row r="47" customFormat="false" ht="15" hidden="false" customHeight="false" outlineLevel="0" collapsed="false">
      <c r="A47" s="14" t="s">
        <v>34</v>
      </c>
      <c r="B47" s="14" t="n">
        <v>2024</v>
      </c>
      <c r="C47" s="14" t="n">
        <v>10</v>
      </c>
      <c r="D47" s="14" t="s">
        <v>59</v>
      </c>
      <c r="E47" s="15" t="n">
        <v>290437.26</v>
      </c>
      <c r="F47" s="15" t="n">
        <v>191394.59</v>
      </c>
      <c r="G47" s="16" t="n">
        <f aca="false">ROUND(E47+F47,2)</f>
        <v>481831.85</v>
      </c>
    </row>
    <row r="48" customFormat="false" ht="15" hidden="false" customHeight="false" outlineLevel="0" collapsed="false">
      <c r="A48" s="14" t="s">
        <v>34</v>
      </c>
      <c r="B48" s="14" t="n">
        <v>2024</v>
      </c>
      <c r="C48" s="14" t="n">
        <v>11</v>
      </c>
      <c r="D48" s="14" t="s">
        <v>60</v>
      </c>
      <c r="E48" s="15" t="n">
        <v>285824.69</v>
      </c>
      <c r="F48" s="15" t="n">
        <v>189084.93</v>
      </c>
      <c r="G48" s="16" t="n">
        <f aca="false">ROUND(E48+F48,2)</f>
        <v>474909.62</v>
      </c>
    </row>
    <row r="49" customFormat="false" ht="15" hidden="false" customHeight="false" outlineLevel="0" collapsed="false">
      <c r="A49" s="14" t="s">
        <v>34</v>
      </c>
      <c r="B49" s="14" t="n">
        <v>2024</v>
      </c>
      <c r="C49" s="14" t="n">
        <v>12</v>
      </c>
      <c r="D49" s="14" t="s">
        <v>61</v>
      </c>
      <c r="E49" s="15" t="n">
        <v>286092.5</v>
      </c>
      <c r="F49" s="15" t="n">
        <v>151812.06</v>
      </c>
      <c r="G49" s="16" t="n">
        <f aca="false">ROUND(E49+F49,2)</f>
        <v>437904.56</v>
      </c>
    </row>
    <row r="50" customFormat="false" ht="15" hidden="false" customHeight="false" outlineLevel="0" collapsed="false">
      <c r="A50" s="14" t="s">
        <v>34</v>
      </c>
      <c r="B50" s="14" t="n">
        <v>2025</v>
      </c>
      <c r="C50" s="14" t="n">
        <v>1</v>
      </c>
      <c r="D50" s="14" t="s">
        <v>50</v>
      </c>
      <c r="E50" s="15" t="n">
        <v>353275.54</v>
      </c>
      <c r="F50" s="15" t="n">
        <v>213554.69</v>
      </c>
      <c r="G50" s="16" t="n">
        <f aca="false">ROUND(E50+F50,2)</f>
        <v>566830.23</v>
      </c>
    </row>
    <row r="51" customFormat="false" ht="15" hidden="false" customHeight="false" outlineLevel="0" collapsed="false">
      <c r="A51" s="14" t="s">
        <v>34</v>
      </c>
      <c r="B51" s="14" t="n">
        <v>2025</v>
      </c>
      <c r="C51" s="14" t="n">
        <v>2</v>
      </c>
      <c r="D51" s="14" t="s">
        <v>51</v>
      </c>
      <c r="E51" s="15" t="n">
        <v>314975.53</v>
      </c>
      <c r="F51" s="15" t="n">
        <v>189853.33</v>
      </c>
      <c r="G51" s="16" t="n">
        <f aca="false">ROUND(E51+F51,2)</f>
        <v>504828.86</v>
      </c>
    </row>
    <row r="52" customFormat="false" ht="15" hidden="false" customHeight="false" outlineLevel="0" collapsed="false">
      <c r="A52" s="14" t="s">
        <v>34</v>
      </c>
      <c r="B52" s="14" t="n">
        <v>2025</v>
      </c>
      <c r="C52" s="14" t="n">
        <v>3</v>
      </c>
      <c r="D52" s="14" t="s">
        <v>52</v>
      </c>
      <c r="E52" s="15" t="n">
        <v>314604.76</v>
      </c>
      <c r="F52" s="15" t="n">
        <v>168142.59</v>
      </c>
      <c r="G52" s="16" t="n">
        <f aca="false">ROUND(E52+F52,2)</f>
        <v>482747.35</v>
      </c>
    </row>
    <row r="53" customFormat="false" ht="15" hidden="false" customHeight="false" outlineLevel="0" collapsed="false">
      <c r="A53" s="14" t="s">
        <v>34</v>
      </c>
      <c r="B53" s="14" t="n">
        <v>2025</v>
      </c>
      <c r="C53" s="14" t="n">
        <v>4</v>
      </c>
      <c r="D53" s="14" t="s">
        <v>53</v>
      </c>
      <c r="E53" s="15" t="n">
        <v>270945.17</v>
      </c>
      <c r="F53" s="15" t="n">
        <v>101617.53</v>
      </c>
      <c r="G53" s="16" t="n">
        <f aca="false">ROUND(E53+F53,2)</f>
        <v>372562.7</v>
      </c>
    </row>
    <row r="54" customFormat="false" ht="15" hidden="false" customHeight="false" outlineLevel="0" collapsed="false">
      <c r="A54" s="14" t="s">
        <v>34</v>
      </c>
      <c r="B54" s="14" t="n">
        <v>2025</v>
      </c>
      <c r="C54" s="14" t="n">
        <v>5</v>
      </c>
      <c r="D54" s="14" t="s">
        <v>54</v>
      </c>
      <c r="E54" s="15" t="n">
        <v>236041.07</v>
      </c>
      <c r="F54" s="15" t="n">
        <v>71035.53</v>
      </c>
      <c r="G54" s="16" t="n">
        <f aca="false">ROUND(E54+F54,2)</f>
        <v>307076.6</v>
      </c>
    </row>
    <row r="55" customFormat="false" ht="15" hidden="false" customHeight="false" outlineLevel="0" collapsed="false">
      <c r="A55" s="14" t="s">
        <v>34</v>
      </c>
      <c r="B55" s="14" t="n">
        <v>2025</v>
      </c>
      <c r="C55" s="14" t="n">
        <v>6</v>
      </c>
      <c r="D55" s="14" t="s">
        <v>55</v>
      </c>
      <c r="E55" s="15" t="n">
        <v>209056.48</v>
      </c>
      <c r="F55" s="15" t="n">
        <v>66140.42</v>
      </c>
      <c r="G55" s="16" t="n">
        <f aca="false">ROUND(E55+F55,2)</f>
        <v>275196.9</v>
      </c>
    </row>
    <row r="56" customFormat="false" ht="15" hidden="false" customHeight="false" outlineLevel="0" collapsed="false">
      <c r="A56" s="14" t="s">
        <v>34</v>
      </c>
      <c r="B56" s="14" t="n">
        <v>2025</v>
      </c>
      <c r="C56" s="14" t="n">
        <v>7</v>
      </c>
      <c r="D56" s="14" t="s">
        <v>56</v>
      </c>
      <c r="E56" s="15" t="n">
        <v>181741.73</v>
      </c>
      <c r="F56" s="15" t="n">
        <v>79674.24</v>
      </c>
      <c r="G56" s="16" t="n">
        <f aca="false">ROUND(E56+F56,2)</f>
        <v>261415.97</v>
      </c>
    </row>
    <row r="57" customFormat="false" ht="15" hidden="false" customHeight="false" outlineLevel="0" collapsed="false">
      <c r="A57" s="14" t="s">
        <v>34</v>
      </c>
      <c r="B57" s="14" t="n">
        <v>2025</v>
      </c>
      <c r="C57" s="14" t="n">
        <v>8</v>
      </c>
      <c r="D57" s="14" t="s">
        <v>57</v>
      </c>
      <c r="E57" s="15" t="n">
        <v>237104.9</v>
      </c>
      <c r="F57" s="15" t="n">
        <v>103577.27</v>
      </c>
      <c r="G57" s="16" t="n">
        <f aca="false">ROUND(E57+F57,2)</f>
        <v>340682.17</v>
      </c>
    </row>
    <row r="58" customFormat="false" ht="15" hidden="false" customHeight="false" outlineLevel="0" collapsed="false">
      <c r="A58" s="14" t="s">
        <v>34</v>
      </c>
      <c r="B58" s="14" t="n">
        <v>2025</v>
      </c>
      <c r="C58" s="14" t="n">
        <v>9</v>
      </c>
      <c r="D58" s="14" t="s">
        <v>58</v>
      </c>
      <c r="E58" s="15" t="n">
        <v>207834.25</v>
      </c>
      <c r="F58" s="15" t="n">
        <v>90761.98</v>
      </c>
      <c r="G58" s="16" t="n">
        <f aca="false">ROUND(E58+F58,2)</f>
        <v>298596.23</v>
      </c>
    </row>
    <row r="59" customFormat="false" ht="15" hidden="false" customHeight="false" outlineLevel="0" collapsed="false">
      <c r="A59" s="14" t="s">
        <v>34</v>
      </c>
      <c r="B59" s="14" t="n">
        <v>2025</v>
      </c>
      <c r="C59" s="14" t="n">
        <v>10</v>
      </c>
      <c r="D59" s="14" t="s">
        <v>59</v>
      </c>
      <c r="E59" s="15" t="n">
        <v>249529.63</v>
      </c>
      <c r="F59" s="15" t="n">
        <v>145076.27</v>
      </c>
      <c r="G59" s="16" t="n">
        <f aca="false">ROUND(E59+F59,2)</f>
        <v>394605.9</v>
      </c>
    </row>
    <row r="60" customFormat="false" ht="15" hidden="false" customHeight="false" outlineLevel="0" collapsed="false">
      <c r="A60" s="14" t="s">
        <v>34</v>
      </c>
      <c r="B60" s="14" t="n">
        <v>2025</v>
      </c>
      <c r="C60" s="14" t="n">
        <v>11</v>
      </c>
      <c r="D60" s="14" t="s">
        <v>60</v>
      </c>
      <c r="E60" s="15" t="n">
        <v>202278.58</v>
      </c>
      <c r="F60" s="15" t="n">
        <v>90940.03</v>
      </c>
      <c r="G60" s="16" t="n">
        <f aca="false">ROUND(E60+F60,2)</f>
        <v>293218.61</v>
      </c>
    </row>
    <row r="61" customFormat="false" ht="15" hidden="false" customHeight="false" outlineLevel="0" collapsed="false">
      <c r="A61" s="14" t="s">
        <v>34</v>
      </c>
      <c r="B61" s="14" t="n">
        <v>2025</v>
      </c>
      <c r="C61" s="14" t="n">
        <v>12</v>
      </c>
      <c r="D61" s="14" t="s">
        <v>61</v>
      </c>
      <c r="E61" s="15" t="n">
        <v>227543.7</v>
      </c>
      <c r="F61" s="15" t="n">
        <v>106330.75</v>
      </c>
      <c r="G61" s="16" t="n">
        <f aca="false">ROUND(E61+F61,2)</f>
        <v>333874.45</v>
      </c>
    </row>
    <row r="62" customFormat="false" ht="15" hidden="false" customHeight="false" outlineLevel="0" collapsed="false">
      <c r="A62" s="14" t="s">
        <v>34</v>
      </c>
      <c r="B62" s="14" t="n">
        <v>2026</v>
      </c>
      <c r="C62" s="14" t="n">
        <v>1</v>
      </c>
      <c r="D62" s="14" t="s">
        <v>50</v>
      </c>
      <c r="E62" s="15" t="n">
        <v>194970.43</v>
      </c>
      <c r="F62" s="15" t="n">
        <v>97768.93</v>
      </c>
      <c r="G62" s="16" t="n">
        <f aca="false">ROUND(E62+F62,2)</f>
        <v>292739.36</v>
      </c>
    </row>
    <row r="63" customFormat="false" ht="15" hidden="false" customHeight="false" outlineLevel="0" collapsed="false">
      <c r="A63" s="14" t="s">
        <v>34</v>
      </c>
      <c r="B63" s="14" t="n">
        <v>2026</v>
      </c>
      <c r="C63" s="14" t="n">
        <v>2</v>
      </c>
      <c r="D63" s="14" t="s">
        <v>51</v>
      </c>
      <c r="E63" s="15" t="n">
        <v>238617.46</v>
      </c>
      <c r="F63" s="15" t="n">
        <v>92400.68</v>
      </c>
      <c r="G63" s="16" t="n">
        <f aca="false">ROUND(E63+F63,2)</f>
        <v>331018.14</v>
      </c>
    </row>
    <row r="64" customFormat="false" ht="15" hidden="false" customHeight="false" outlineLevel="0" collapsed="false">
      <c r="A64" s="14" t="s">
        <v>34</v>
      </c>
      <c r="B64" s="14" t="n">
        <v>2026</v>
      </c>
      <c r="C64" s="14" t="n">
        <v>3</v>
      </c>
      <c r="D64" s="14" t="s">
        <v>52</v>
      </c>
      <c r="E64" s="15" t="n">
        <v>233128.95</v>
      </c>
      <c r="F64" s="15" t="n">
        <v>101193.38</v>
      </c>
      <c r="G64" s="16" t="n">
        <f aca="false">ROUND(E64+F64,2)</f>
        <v>334322.33</v>
      </c>
    </row>
    <row r="65" customFormat="false" ht="15" hidden="false" customHeight="false" outlineLevel="0" collapsed="false">
      <c r="A65" s="14" t="s">
        <v>34</v>
      </c>
      <c r="B65" s="14" t="n">
        <v>2026</v>
      </c>
      <c r="C65" s="14" t="n">
        <v>4</v>
      </c>
      <c r="D65" s="14" t="s">
        <v>53</v>
      </c>
      <c r="E65" s="15" t="n">
        <v>222241.48</v>
      </c>
      <c r="F65" s="15" t="n">
        <v>109161.88</v>
      </c>
      <c r="G65" s="16" t="n">
        <f aca="false">ROUND(E65+F65,2)</f>
        <v>331403.36</v>
      </c>
    </row>
    <row r="66" customFormat="false" ht="15" hidden="false" customHeight="false" outlineLevel="0" collapsed="false">
      <c r="A66" s="14" t="s">
        <v>34</v>
      </c>
      <c r="B66" s="14" t="n">
        <v>2026</v>
      </c>
      <c r="C66" s="14" t="n">
        <v>5</v>
      </c>
      <c r="D66" s="14" t="s">
        <v>54</v>
      </c>
      <c r="E66" s="15" t="n">
        <v>228299.88</v>
      </c>
      <c r="F66" s="15" t="n">
        <v>122344.7</v>
      </c>
      <c r="G66" s="16" t="n">
        <f aca="false">ROUND(E66+F66,2)</f>
        <v>350644.58</v>
      </c>
    </row>
    <row r="67" customFormat="false" ht="15" hidden="false" customHeight="false" outlineLevel="0" collapsed="false">
      <c r="A67" s="14" t="s">
        <v>34</v>
      </c>
      <c r="B67" s="14" t="n">
        <v>2026</v>
      </c>
      <c r="C67" s="14" t="n">
        <v>6</v>
      </c>
      <c r="D67" s="14" t="s">
        <v>55</v>
      </c>
      <c r="E67" s="15" t="n">
        <v>217804.65</v>
      </c>
      <c r="F67" s="15" t="n">
        <v>121074.56</v>
      </c>
      <c r="G67" s="16" t="n">
        <f aca="false">ROUND(E67+F67,2)</f>
        <v>338879.21</v>
      </c>
    </row>
    <row r="68" customFormat="false" ht="15" hidden="false" customHeight="false" outlineLevel="0" collapsed="false">
      <c r="A68" s="14" t="s">
        <v>34</v>
      </c>
      <c r="B68" s="14" t="n">
        <v>2026</v>
      </c>
      <c r="C68" s="14" t="n">
        <v>7</v>
      </c>
      <c r="D68" s="14" t="s">
        <v>56</v>
      </c>
      <c r="E68" s="15" t="n">
        <v>180347.34</v>
      </c>
      <c r="F68" s="15" t="n">
        <v>107806.38</v>
      </c>
      <c r="G68" s="16" t="n">
        <f aca="false">ROUND(E68+F68,2)</f>
        <v>288153.72</v>
      </c>
    </row>
    <row r="69" customFormat="false" ht="15" hidden="false" customHeight="false" outlineLevel="0" collapsed="false">
      <c r="A69" s="14" t="s">
        <v>12</v>
      </c>
      <c r="B69" s="14" t="n">
        <v>2021</v>
      </c>
      <c r="C69" s="14" t="n">
        <v>1</v>
      </c>
      <c r="D69" s="14" t="s">
        <v>50</v>
      </c>
      <c r="E69" s="15" t="n">
        <v>447100.1</v>
      </c>
      <c r="F69" s="15" t="n">
        <v>199863.02</v>
      </c>
      <c r="G69" s="16" t="n">
        <f aca="false">ROUND(E69+F69,2)</f>
        <v>646963.12</v>
      </c>
    </row>
    <row r="70" customFormat="false" ht="15" hidden="false" customHeight="false" outlineLevel="0" collapsed="false">
      <c r="A70" s="14" t="s">
        <v>12</v>
      </c>
      <c r="B70" s="14" t="n">
        <v>2021</v>
      </c>
      <c r="C70" s="14" t="n">
        <v>2</v>
      </c>
      <c r="D70" s="14" t="s">
        <v>51</v>
      </c>
      <c r="E70" s="15" t="n">
        <v>406801.67</v>
      </c>
      <c r="F70" s="15" t="n">
        <v>204016.46</v>
      </c>
      <c r="G70" s="16" t="n">
        <f aca="false">ROUND(E70+F70,2)</f>
        <v>610818.13</v>
      </c>
    </row>
    <row r="71" customFormat="false" ht="15" hidden="false" customHeight="false" outlineLevel="0" collapsed="false">
      <c r="A71" s="14" t="s">
        <v>12</v>
      </c>
      <c r="B71" s="14" t="n">
        <v>2021</v>
      </c>
      <c r="C71" s="14" t="n">
        <v>3</v>
      </c>
      <c r="D71" s="14" t="s">
        <v>52</v>
      </c>
      <c r="E71" s="15" t="n">
        <v>511741.56</v>
      </c>
      <c r="F71" s="15" t="n">
        <v>252571.42</v>
      </c>
      <c r="G71" s="16" t="n">
        <f aca="false">ROUND(E71+F71,2)</f>
        <v>764312.98</v>
      </c>
    </row>
    <row r="72" customFormat="false" ht="15" hidden="false" customHeight="false" outlineLevel="0" collapsed="false">
      <c r="A72" s="14" t="s">
        <v>12</v>
      </c>
      <c r="B72" s="14" t="n">
        <v>2021</v>
      </c>
      <c r="C72" s="14" t="n">
        <v>4</v>
      </c>
      <c r="D72" s="14" t="s">
        <v>53</v>
      </c>
      <c r="E72" s="15" t="n">
        <v>471704.03</v>
      </c>
      <c r="F72" s="15" t="n">
        <v>208534.04</v>
      </c>
      <c r="G72" s="16" t="n">
        <f aca="false">ROUND(E72+F72,2)</f>
        <v>680238.07</v>
      </c>
    </row>
    <row r="73" customFormat="false" ht="15" hidden="false" customHeight="false" outlineLevel="0" collapsed="false">
      <c r="A73" s="14" t="s">
        <v>12</v>
      </c>
      <c r="B73" s="14" t="n">
        <v>2021</v>
      </c>
      <c r="C73" s="14" t="n">
        <v>5</v>
      </c>
      <c r="D73" s="14" t="s">
        <v>54</v>
      </c>
      <c r="E73" s="15" t="n">
        <v>461426.94</v>
      </c>
      <c r="F73" s="15" t="n">
        <v>256678.51</v>
      </c>
      <c r="G73" s="16" t="n">
        <f aca="false">ROUND(E73+F73,2)</f>
        <v>718105.45</v>
      </c>
    </row>
    <row r="74" customFormat="false" ht="15" hidden="false" customHeight="false" outlineLevel="0" collapsed="false">
      <c r="A74" s="14" t="s">
        <v>12</v>
      </c>
      <c r="B74" s="14" t="n">
        <v>2021</v>
      </c>
      <c r="C74" s="14" t="n">
        <v>6</v>
      </c>
      <c r="D74" s="14" t="s">
        <v>55</v>
      </c>
      <c r="E74" s="15" t="n">
        <v>468753.67</v>
      </c>
      <c r="F74" s="15" t="n">
        <v>310589.45</v>
      </c>
      <c r="G74" s="16" t="n">
        <f aca="false">ROUND(E74+F74,2)</f>
        <v>779343.12</v>
      </c>
    </row>
    <row r="75" customFormat="false" ht="15" hidden="false" customHeight="false" outlineLevel="0" collapsed="false">
      <c r="A75" s="14" t="s">
        <v>12</v>
      </c>
      <c r="B75" s="14" t="n">
        <v>2021</v>
      </c>
      <c r="C75" s="14" t="n">
        <v>7</v>
      </c>
      <c r="D75" s="14" t="s">
        <v>56</v>
      </c>
      <c r="E75" s="15" t="n">
        <v>491073.34</v>
      </c>
      <c r="F75" s="15" t="n">
        <v>350468.61</v>
      </c>
      <c r="G75" s="16" t="n">
        <f aca="false">ROUND(E75+F75,2)</f>
        <v>841541.95</v>
      </c>
    </row>
    <row r="76" customFormat="false" ht="15" hidden="false" customHeight="false" outlineLevel="0" collapsed="false">
      <c r="A76" s="14" t="s">
        <v>12</v>
      </c>
      <c r="B76" s="14" t="n">
        <v>2021</v>
      </c>
      <c r="C76" s="14" t="n">
        <v>8</v>
      </c>
      <c r="D76" s="14" t="s">
        <v>57</v>
      </c>
      <c r="E76" s="15" t="n">
        <v>474186.59</v>
      </c>
      <c r="F76" s="15" t="n">
        <v>302624.11</v>
      </c>
      <c r="G76" s="16" t="n">
        <f aca="false">ROUND(E76+F76,2)</f>
        <v>776810.7</v>
      </c>
    </row>
    <row r="77" customFormat="false" ht="15" hidden="false" customHeight="false" outlineLevel="0" collapsed="false">
      <c r="A77" s="14" t="s">
        <v>12</v>
      </c>
      <c r="B77" s="14" t="n">
        <v>2021</v>
      </c>
      <c r="C77" s="14" t="n">
        <v>9</v>
      </c>
      <c r="D77" s="14" t="s">
        <v>58</v>
      </c>
      <c r="E77" s="15" t="n">
        <v>446956</v>
      </c>
      <c r="F77" s="15" t="n">
        <v>278469.39</v>
      </c>
      <c r="G77" s="16" t="n">
        <f aca="false">ROUND(E77+F77,2)</f>
        <v>725425.39</v>
      </c>
    </row>
    <row r="78" customFormat="false" ht="15" hidden="false" customHeight="false" outlineLevel="0" collapsed="false">
      <c r="A78" s="14" t="s">
        <v>12</v>
      </c>
      <c r="B78" s="14" t="n">
        <v>2021</v>
      </c>
      <c r="C78" s="14" t="n">
        <v>10</v>
      </c>
      <c r="D78" s="14" t="s">
        <v>59</v>
      </c>
      <c r="E78" s="15" t="n">
        <v>446488.01</v>
      </c>
      <c r="F78" s="15" t="n">
        <v>241205.39</v>
      </c>
      <c r="G78" s="16" t="n">
        <f aca="false">ROUND(E78+F78,2)</f>
        <v>687693.4</v>
      </c>
    </row>
    <row r="79" customFormat="false" ht="15" hidden="false" customHeight="false" outlineLevel="0" collapsed="false">
      <c r="A79" s="14" t="s">
        <v>12</v>
      </c>
      <c r="B79" s="14" t="n">
        <v>2021</v>
      </c>
      <c r="C79" s="14" t="n">
        <v>11</v>
      </c>
      <c r="D79" s="14" t="s">
        <v>60</v>
      </c>
      <c r="E79" s="15" t="n">
        <v>509657.32</v>
      </c>
      <c r="F79" s="15" t="n">
        <v>279129.67</v>
      </c>
      <c r="G79" s="16" t="n">
        <f aca="false">ROUND(E79+F79,2)</f>
        <v>788786.99</v>
      </c>
    </row>
    <row r="80" customFormat="false" ht="15" hidden="false" customHeight="false" outlineLevel="0" collapsed="false">
      <c r="A80" s="14" t="s">
        <v>12</v>
      </c>
      <c r="B80" s="14" t="n">
        <v>2021</v>
      </c>
      <c r="C80" s="14" t="n">
        <v>12</v>
      </c>
      <c r="D80" s="14" t="s">
        <v>61</v>
      </c>
      <c r="E80" s="15" t="n">
        <v>535503.82</v>
      </c>
      <c r="F80" s="15" t="n">
        <v>331077.59</v>
      </c>
      <c r="G80" s="16" t="n">
        <f aca="false">ROUND(E80+F80,2)</f>
        <v>866581.41</v>
      </c>
    </row>
    <row r="81" customFormat="false" ht="15" hidden="false" customHeight="false" outlineLevel="0" collapsed="false">
      <c r="A81" s="14" t="s">
        <v>12</v>
      </c>
      <c r="B81" s="14" t="n">
        <v>2022</v>
      </c>
      <c r="C81" s="14" t="n">
        <v>1</v>
      </c>
      <c r="D81" s="14" t="s">
        <v>50</v>
      </c>
      <c r="E81" s="15" t="n">
        <v>597292.56</v>
      </c>
      <c r="F81" s="15" t="n">
        <v>235877.93</v>
      </c>
      <c r="G81" s="16" t="n">
        <f aca="false">ROUND(E81+F81,2)</f>
        <v>833170.49</v>
      </c>
    </row>
    <row r="82" customFormat="false" ht="15" hidden="false" customHeight="false" outlineLevel="0" collapsed="false">
      <c r="A82" s="14" t="s">
        <v>12</v>
      </c>
      <c r="B82" s="14" t="n">
        <v>2022</v>
      </c>
      <c r="C82" s="14" t="n">
        <v>2</v>
      </c>
      <c r="D82" s="14" t="s">
        <v>51</v>
      </c>
      <c r="E82" s="15" t="n">
        <v>580532.94</v>
      </c>
      <c r="F82" s="15" t="n">
        <v>288068.99</v>
      </c>
      <c r="G82" s="16" t="n">
        <f aca="false">ROUND(E82+F82,2)</f>
        <v>868601.93</v>
      </c>
    </row>
    <row r="83" customFormat="false" ht="15" hidden="false" customHeight="false" outlineLevel="0" collapsed="false">
      <c r="A83" s="14" t="s">
        <v>12</v>
      </c>
      <c r="B83" s="14" t="n">
        <v>2022</v>
      </c>
      <c r="C83" s="14" t="n">
        <v>3</v>
      </c>
      <c r="D83" s="14" t="s">
        <v>52</v>
      </c>
      <c r="E83" s="15" t="n">
        <v>745108.95</v>
      </c>
      <c r="F83" s="15" t="n">
        <v>394956.67</v>
      </c>
      <c r="G83" s="16" t="n">
        <f aca="false">ROUND(E83+F83,2)</f>
        <v>1140065.62</v>
      </c>
    </row>
    <row r="84" customFormat="false" ht="15" hidden="false" customHeight="false" outlineLevel="0" collapsed="false">
      <c r="A84" s="14" t="s">
        <v>12</v>
      </c>
      <c r="B84" s="14" t="n">
        <v>2022</v>
      </c>
      <c r="C84" s="14" t="n">
        <v>4</v>
      </c>
      <c r="D84" s="14" t="s">
        <v>53</v>
      </c>
      <c r="E84" s="15" t="n">
        <v>691837.12</v>
      </c>
      <c r="F84" s="15" t="n">
        <v>345762.38</v>
      </c>
      <c r="G84" s="16" t="n">
        <f aca="false">ROUND(E84+F84,2)</f>
        <v>1037599.5</v>
      </c>
    </row>
    <row r="85" customFormat="false" ht="15" hidden="false" customHeight="false" outlineLevel="0" collapsed="false">
      <c r="A85" s="14" t="s">
        <v>12</v>
      </c>
      <c r="B85" s="14" t="n">
        <v>2022</v>
      </c>
      <c r="C85" s="14" t="n">
        <v>5</v>
      </c>
      <c r="D85" s="14" t="s">
        <v>54</v>
      </c>
      <c r="E85" s="15" t="n">
        <v>663293.11</v>
      </c>
      <c r="F85" s="15" t="n">
        <v>378202.26</v>
      </c>
      <c r="G85" s="16" t="n">
        <f aca="false">ROUND(E85+F85,2)</f>
        <v>1041495.37</v>
      </c>
    </row>
    <row r="86" customFormat="false" ht="15" hidden="false" customHeight="false" outlineLevel="0" collapsed="false">
      <c r="A86" s="14" t="s">
        <v>12</v>
      </c>
      <c r="B86" s="14" t="n">
        <v>2022</v>
      </c>
      <c r="C86" s="14" t="n">
        <v>6</v>
      </c>
      <c r="D86" s="14" t="s">
        <v>55</v>
      </c>
      <c r="E86" s="15" t="n">
        <v>633062.12</v>
      </c>
      <c r="F86" s="15" t="n">
        <v>437378.16</v>
      </c>
      <c r="G86" s="16" t="n">
        <f aca="false">ROUND(E86+F86,2)</f>
        <v>1070440.28</v>
      </c>
    </row>
    <row r="87" customFormat="false" ht="15" hidden="false" customHeight="false" outlineLevel="0" collapsed="false">
      <c r="A87" s="14" t="s">
        <v>12</v>
      </c>
      <c r="B87" s="14" t="n">
        <v>2022</v>
      </c>
      <c r="C87" s="14" t="n">
        <v>7</v>
      </c>
      <c r="D87" s="14" t="s">
        <v>56</v>
      </c>
      <c r="E87" s="15" t="n">
        <v>606657.64</v>
      </c>
      <c r="F87" s="15" t="n">
        <v>453949.47</v>
      </c>
      <c r="G87" s="16" t="n">
        <f aca="false">ROUND(E87+F87,2)</f>
        <v>1060607.11</v>
      </c>
    </row>
    <row r="88" customFormat="false" ht="15" hidden="false" customHeight="false" outlineLevel="0" collapsed="false">
      <c r="A88" s="14" t="s">
        <v>12</v>
      </c>
      <c r="B88" s="14" t="n">
        <v>2022</v>
      </c>
      <c r="C88" s="14" t="n">
        <v>8</v>
      </c>
      <c r="D88" s="14" t="s">
        <v>57</v>
      </c>
      <c r="E88" s="15" t="n">
        <v>667641.54</v>
      </c>
      <c r="F88" s="15" t="n">
        <v>399486.94</v>
      </c>
      <c r="G88" s="16" t="n">
        <f aca="false">ROUND(E88+F88,2)</f>
        <v>1067128.48</v>
      </c>
    </row>
    <row r="89" customFormat="false" ht="15" hidden="false" customHeight="false" outlineLevel="0" collapsed="false">
      <c r="A89" s="14" t="s">
        <v>12</v>
      </c>
      <c r="B89" s="14" t="n">
        <v>2022</v>
      </c>
      <c r="C89" s="14" t="n">
        <v>9</v>
      </c>
      <c r="D89" s="14" t="s">
        <v>58</v>
      </c>
      <c r="E89" s="15" t="n">
        <v>640387.99</v>
      </c>
      <c r="F89" s="15" t="n">
        <v>389911.53</v>
      </c>
      <c r="G89" s="16" t="n">
        <f aca="false">ROUND(E89+F89,2)</f>
        <v>1030299.52</v>
      </c>
    </row>
    <row r="90" customFormat="false" ht="15" hidden="false" customHeight="false" outlineLevel="0" collapsed="false">
      <c r="A90" s="14" t="s">
        <v>12</v>
      </c>
      <c r="B90" s="14" t="n">
        <v>2022</v>
      </c>
      <c r="C90" s="14" t="n">
        <v>10</v>
      </c>
      <c r="D90" s="14" t="s">
        <v>59</v>
      </c>
      <c r="E90" s="15" t="n">
        <v>621799.76</v>
      </c>
      <c r="F90" s="15" t="n">
        <v>356563.63</v>
      </c>
      <c r="G90" s="16" t="n">
        <f aca="false">ROUND(E90+F90,2)</f>
        <v>978363.39</v>
      </c>
    </row>
    <row r="91" customFormat="false" ht="15" hidden="false" customHeight="false" outlineLevel="0" collapsed="false">
      <c r="A91" s="14" t="s">
        <v>12</v>
      </c>
      <c r="B91" s="14" t="n">
        <v>2022</v>
      </c>
      <c r="C91" s="14" t="n">
        <v>11</v>
      </c>
      <c r="D91" s="14" t="s">
        <v>60</v>
      </c>
      <c r="E91" s="15" t="n">
        <v>584155.21</v>
      </c>
      <c r="F91" s="15" t="n">
        <v>337822.86</v>
      </c>
      <c r="G91" s="16" t="n">
        <f aca="false">ROUND(E91+F91,2)</f>
        <v>921978.07</v>
      </c>
    </row>
    <row r="92" customFormat="false" ht="15" hidden="false" customHeight="false" outlineLevel="0" collapsed="false">
      <c r="A92" s="14" t="s">
        <v>12</v>
      </c>
      <c r="B92" s="14" t="n">
        <v>2022</v>
      </c>
      <c r="C92" s="14" t="n">
        <v>12</v>
      </c>
      <c r="D92" s="14" t="s">
        <v>61</v>
      </c>
      <c r="E92" s="15" t="n">
        <v>714896.41</v>
      </c>
      <c r="F92" s="15" t="n">
        <v>391568</v>
      </c>
      <c r="G92" s="16" t="n">
        <f aca="false">ROUND(E92+F92,2)</f>
        <v>1106464.41</v>
      </c>
    </row>
    <row r="93" customFormat="false" ht="15" hidden="false" customHeight="false" outlineLevel="0" collapsed="false">
      <c r="A93" s="14" t="s">
        <v>12</v>
      </c>
      <c r="B93" s="14" t="n">
        <v>2023</v>
      </c>
      <c r="C93" s="14" t="n">
        <v>1</v>
      </c>
      <c r="D93" s="14" t="s">
        <v>50</v>
      </c>
      <c r="E93" s="15" t="n">
        <v>707861.73</v>
      </c>
      <c r="F93" s="15" t="n">
        <v>366550.7</v>
      </c>
      <c r="G93" s="16" t="n">
        <f aca="false">ROUND(E93+F93,2)</f>
        <v>1074412.43</v>
      </c>
    </row>
    <row r="94" customFormat="false" ht="15" hidden="false" customHeight="false" outlineLevel="0" collapsed="false">
      <c r="A94" s="14" t="s">
        <v>12</v>
      </c>
      <c r="B94" s="14" t="n">
        <v>2023</v>
      </c>
      <c r="C94" s="14" t="n">
        <v>2</v>
      </c>
      <c r="D94" s="14" t="s">
        <v>51</v>
      </c>
      <c r="E94" s="15" t="n">
        <v>749662.25</v>
      </c>
      <c r="F94" s="15" t="n">
        <v>346178.75</v>
      </c>
      <c r="G94" s="16" t="n">
        <f aca="false">ROUND(E94+F94,2)</f>
        <v>1095841</v>
      </c>
    </row>
    <row r="95" customFormat="false" ht="15" hidden="false" customHeight="false" outlineLevel="0" collapsed="false">
      <c r="A95" s="14" t="s">
        <v>12</v>
      </c>
      <c r="B95" s="14" t="n">
        <v>2023</v>
      </c>
      <c r="C95" s="14" t="n">
        <v>3</v>
      </c>
      <c r="D95" s="14" t="s">
        <v>52</v>
      </c>
      <c r="E95" s="15" t="n">
        <v>736892.24</v>
      </c>
      <c r="F95" s="15" t="n">
        <v>384936.51</v>
      </c>
      <c r="G95" s="16" t="n">
        <f aca="false">ROUND(E95+F95,2)</f>
        <v>1121828.75</v>
      </c>
    </row>
    <row r="96" customFormat="false" ht="15" hidden="false" customHeight="false" outlineLevel="0" collapsed="false">
      <c r="A96" s="14" t="s">
        <v>12</v>
      </c>
      <c r="B96" s="14" t="n">
        <v>2023</v>
      </c>
      <c r="C96" s="14" t="n">
        <v>4</v>
      </c>
      <c r="D96" s="14" t="s">
        <v>53</v>
      </c>
      <c r="E96" s="15" t="n">
        <v>716836.07</v>
      </c>
      <c r="F96" s="15" t="n">
        <v>332719.02</v>
      </c>
      <c r="G96" s="16" t="n">
        <f aca="false">ROUND(E96+F96,2)</f>
        <v>1049555.09</v>
      </c>
    </row>
    <row r="97" customFormat="false" ht="15" hidden="false" customHeight="false" outlineLevel="0" collapsed="false">
      <c r="A97" s="14" t="s">
        <v>12</v>
      </c>
      <c r="B97" s="14" t="n">
        <v>2023</v>
      </c>
      <c r="C97" s="14" t="n">
        <v>5</v>
      </c>
      <c r="D97" s="14" t="s">
        <v>54</v>
      </c>
      <c r="E97" s="15" t="n">
        <v>689197.62</v>
      </c>
      <c r="F97" s="15" t="n">
        <v>369797.88</v>
      </c>
      <c r="G97" s="16" t="n">
        <f aca="false">ROUND(E97+F97,2)</f>
        <v>1058995.5</v>
      </c>
    </row>
    <row r="98" customFormat="false" ht="15" hidden="false" customHeight="false" outlineLevel="0" collapsed="false">
      <c r="A98" s="14" t="s">
        <v>12</v>
      </c>
      <c r="B98" s="14" t="n">
        <v>2023</v>
      </c>
      <c r="C98" s="14" t="n">
        <v>6</v>
      </c>
      <c r="D98" s="14" t="s">
        <v>55</v>
      </c>
      <c r="E98" s="15" t="n">
        <v>714669.9</v>
      </c>
      <c r="F98" s="15" t="n">
        <v>449245.92</v>
      </c>
      <c r="G98" s="16" t="n">
        <f aca="false">ROUND(E98+F98,2)</f>
        <v>1163915.82</v>
      </c>
    </row>
    <row r="99" customFormat="false" ht="15" hidden="false" customHeight="false" outlineLevel="0" collapsed="false">
      <c r="A99" s="14" t="s">
        <v>12</v>
      </c>
      <c r="B99" s="14" t="n">
        <v>2023</v>
      </c>
      <c r="C99" s="14" t="n">
        <v>7</v>
      </c>
      <c r="D99" s="14" t="s">
        <v>56</v>
      </c>
      <c r="E99" s="15" t="n">
        <v>598596.02</v>
      </c>
      <c r="F99" s="15" t="n">
        <v>327647.77</v>
      </c>
      <c r="G99" s="16" t="n">
        <f aca="false">ROUND(E99+F99,2)</f>
        <v>926243.79</v>
      </c>
    </row>
    <row r="100" customFormat="false" ht="15" hidden="false" customHeight="false" outlineLevel="0" collapsed="false">
      <c r="A100" s="14" t="s">
        <v>12</v>
      </c>
      <c r="B100" s="14" t="n">
        <v>2023</v>
      </c>
      <c r="C100" s="14" t="n">
        <v>8</v>
      </c>
      <c r="D100" s="14" t="s">
        <v>57</v>
      </c>
      <c r="E100" s="15" t="n">
        <v>773358.39</v>
      </c>
      <c r="F100" s="15" t="n">
        <v>374086.79</v>
      </c>
      <c r="G100" s="16" t="n">
        <f aca="false">ROUND(E100+F100,2)</f>
        <v>1147445.18</v>
      </c>
    </row>
    <row r="101" customFormat="false" ht="15" hidden="false" customHeight="false" outlineLevel="0" collapsed="false">
      <c r="A101" s="14" t="s">
        <v>12</v>
      </c>
      <c r="B101" s="14" t="n">
        <v>2023</v>
      </c>
      <c r="C101" s="14" t="n">
        <v>9</v>
      </c>
      <c r="D101" s="14" t="s">
        <v>58</v>
      </c>
      <c r="E101" s="15" t="n">
        <v>713525.63</v>
      </c>
      <c r="F101" s="15" t="n">
        <v>358803.3</v>
      </c>
      <c r="G101" s="16" t="n">
        <f aca="false">ROUND(E101+F101,2)</f>
        <v>1072328.93</v>
      </c>
    </row>
    <row r="102" customFormat="false" ht="15" hidden="false" customHeight="false" outlineLevel="0" collapsed="false">
      <c r="A102" s="14" t="s">
        <v>12</v>
      </c>
      <c r="B102" s="14" t="n">
        <v>2023</v>
      </c>
      <c r="C102" s="14" t="n">
        <v>10</v>
      </c>
      <c r="D102" s="14" t="s">
        <v>59</v>
      </c>
      <c r="E102" s="15" t="n">
        <v>709731.97</v>
      </c>
      <c r="F102" s="15" t="n">
        <v>415076.01</v>
      </c>
      <c r="G102" s="16" t="n">
        <f aca="false">ROUND(E102+F102,2)</f>
        <v>1124807.98</v>
      </c>
    </row>
    <row r="103" customFormat="false" ht="15" hidden="false" customHeight="false" outlineLevel="0" collapsed="false">
      <c r="A103" s="14" t="s">
        <v>12</v>
      </c>
      <c r="B103" s="14" t="n">
        <v>2023</v>
      </c>
      <c r="C103" s="14" t="n">
        <v>11</v>
      </c>
      <c r="D103" s="14" t="s">
        <v>60</v>
      </c>
      <c r="E103" s="15" t="n">
        <v>667495.87</v>
      </c>
      <c r="F103" s="15" t="n">
        <v>344134.33</v>
      </c>
      <c r="G103" s="16" t="n">
        <f aca="false">ROUND(E103+F103,2)</f>
        <v>1011630.2</v>
      </c>
    </row>
    <row r="104" customFormat="false" ht="15" hidden="false" customHeight="false" outlineLevel="0" collapsed="false">
      <c r="A104" s="14" t="s">
        <v>12</v>
      </c>
      <c r="B104" s="14" t="n">
        <v>2023</v>
      </c>
      <c r="C104" s="14" t="n">
        <v>12</v>
      </c>
      <c r="D104" s="14" t="s">
        <v>61</v>
      </c>
      <c r="E104" s="15" t="n">
        <v>770193.96</v>
      </c>
      <c r="F104" s="15" t="n">
        <v>402819.74</v>
      </c>
      <c r="G104" s="16" t="n">
        <f aca="false">ROUND(E104+F104,2)</f>
        <v>1173013.7</v>
      </c>
    </row>
    <row r="105" customFormat="false" ht="15" hidden="false" customHeight="false" outlineLevel="0" collapsed="false">
      <c r="A105" s="14" t="s">
        <v>12</v>
      </c>
      <c r="B105" s="14" t="n">
        <v>2024</v>
      </c>
      <c r="C105" s="14" t="n">
        <v>1</v>
      </c>
      <c r="D105" s="14" t="s">
        <v>50</v>
      </c>
      <c r="E105" s="15" t="n">
        <v>709476.48</v>
      </c>
      <c r="F105" s="15" t="n">
        <v>361972.23</v>
      </c>
      <c r="G105" s="16" t="n">
        <f aca="false">ROUND(E105+F105,2)</f>
        <v>1071448.71</v>
      </c>
    </row>
    <row r="106" customFormat="false" ht="15" hidden="false" customHeight="false" outlineLevel="0" collapsed="false">
      <c r="A106" s="14" t="s">
        <v>12</v>
      </c>
      <c r="B106" s="14" t="n">
        <v>2024</v>
      </c>
      <c r="C106" s="14" t="n">
        <v>2</v>
      </c>
      <c r="D106" s="14" t="s">
        <v>51</v>
      </c>
      <c r="E106" s="15" t="n">
        <v>689496.26</v>
      </c>
      <c r="F106" s="15" t="n">
        <v>337711.91</v>
      </c>
      <c r="G106" s="16" t="n">
        <f aca="false">ROUND(E106+F106,2)</f>
        <v>1027208.17</v>
      </c>
    </row>
    <row r="107" customFormat="false" ht="15" hidden="false" customHeight="false" outlineLevel="0" collapsed="false">
      <c r="A107" s="14" t="s">
        <v>12</v>
      </c>
      <c r="B107" s="14" t="n">
        <v>2024</v>
      </c>
      <c r="C107" s="14" t="n">
        <v>3</v>
      </c>
      <c r="D107" s="14" t="s">
        <v>52</v>
      </c>
      <c r="E107" s="15" t="n">
        <v>733927.29</v>
      </c>
      <c r="F107" s="15" t="n">
        <v>344801.6</v>
      </c>
      <c r="G107" s="16" t="n">
        <f aca="false">ROUND(E107+F107,2)</f>
        <v>1078728.89</v>
      </c>
    </row>
    <row r="108" customFormat="false" ht="15" hidden="false" customHeight="false" outlineLevel="0" collapsed="false">
      <c r="A108" s="14" t="s">
        <v>12</v>
      </c>
      <c r="B108" s="14" t="n">
        <v>2024</v>
      </c>
      <c r="C108" s="14" t="n">
        <v>4</v>
      </c>
      <c r="D108" s="14" t="s">
        <v>53</v>
      </c>
      <c r="E108" s="15" t="n">
        <v>800006.55</v>
      </c>
      <c r="F108" s="15" t="n">
        <v>430921.98</v>
      </c>
      <c r="G108" s="16" t="n">
        <f aca="false">ROUND(E108+F108,2)</f>
        <v>1230928.53</v>
      </c>
    </row>
    <row r="109" customFormat="false" ht="15" hidden="false" customHeight="false" outlineLevel="0" collapsed="false">
      <c r="A109" s="14" t="s">
        <v>12</v>
      </c>
      <c r="B109" s="14" t="n">
        <v>2024</v>
      </c>
      <c r="C109" s="14" t="n">
        <v>5</v>
      </c>
      <c r="D109" s="14" t="s">
        <v>54</v>
      </c>
      <c r="E109" s="15" t="n">
        <v>756071.97</v>
      </c>
      <c r="F109" s="15" t="n">
        <v>366513.78</v>
      </c>
      <c r="G109" s="16" t="n">
        <f aca="false">ROUND(E109+F109,2)</f>
        <v>1122585.75</v>
      </c>
    </row>
    <row r="110" customFormat="false" ht="15" hidden="false" customHeight="false" outlineLevel="0" collapsed="false">
      <c r="A110" s="14" t="s">
        <v>12</v>
      </c>
      <c r="B110" s="14" t="n">
        <v>2024</v>
      </c>
      <c r="C110" s="14" t="n">
        <v>6</v>
      </c>
      <c r="D110" s="14" t="s">
        <v>55</v>
      </c>
      <c r="E110" s="15" t="n">
        <v>291582.02</v>
      </c>
      <c r="F110" s="15" t="n">
        <v>128062.3</v>
      </c>
      <c r="G110" s="16" t="n">
        <f aca="false">ROUND(E110+F110,2)</f>
        <v>419644.32</v>
      </c>
    </row>
    <row r="111" customFormat="false" ht="15" hidden="false" customHeight="false" outlineLevel="0" collapsed="false">
      <c r="A111" s="14" t="s">
        <v>12</v>
      </c>
      <c r="B111" s="14" t="n">
        <v>2024</v>
      </c>
      <c r="C111" s="14" t="n">
        <v>7</v>
      </c>
      <c r="D111" s="14" t="s">
        <v>56</v>
      </c>
      <c r="E111" s="15" t="n">
        <v>717725.36</v>
      </c>
      <c r="F111" s="15" t="n">
        <v>388465.84</v>
      </c>
      <c r="G111" s="16" t="n">
        <f aca="false">ROUND(E111+F111,2)</f>
        <v>1106191.2</v>
      </c>
    </row>
    <row r="112" customFormat="false" ht="15" hidden="false" customHeight="false" outlineLevel="0" collapsed="false">
      <c r="A112" s="14" t="s">
        <v>12</v>
      </c>
      <c r="B112" s="14" t="n">
        <v>2024</v>
      </c>
      <c r="C112" s="14" t="n">
        <v>8</v>
      </c>
      <c r="D112" s="14" t="s">
        <v>57</v>
      </c>
      <c r="E112" s="15" t="n">
        <v>879593.37</v>
      </c>
      <c r="F112" s="15" t="n">
        <v>432088.92</v>
      </c>
      <c r="G112" s="16" t="n">
        <f aca="false">ROUND(E112+F112,2)</f>
        <v>1311682.29</v>
      </c>
    </row>
    <row r="113" customFormat="false" ht="15" hidden="false" customHeight="false" outlineLevel="0" collapsed="false">
      <c r="A113" s="14" t="s">
        <v>12</v>
      </c>
      <c r="B113" s="14" t="n">
        <v>2024</v>
      </c>
      <c r="C113" s="14" t="n">
        <v>9</v>
      </c>
      <c r="D113" s="14" t="s">
        <v>58</v>
      </c>
      <c r="E113" s="15" t="n">
        <v>803049.78</v>
      </c>
      <c r="F113" s="15" t="n">
        <v>376786.58</v>
      </c>
      <c r="G113" s="16" t="n">
        <f aca="false">ROUND(E113+F113,2)</f>
        <v>1179836.36</v>
      </c>
    </row>
    <row r="114" customFormat="false" ht="15" hidden="false" customHeight="false" outlineLevel="0" collapsed="false">
      <c r="A114" s="14" t="s">
        <v>12</v>
      </c>
      <c r="B114" s="14" t="n">
        <v>2024</v>
      </c>
      <c r="C114" s="14" t="n">
        <v>10</v>
      </c>
      <c r="D114" s="14" t="s">
        <v>59</v>
      </c>
      <c r="E114" s="15" t="n">
        <v>883555.58</v>
      </c>
      <c r="F114" s="15" t="n">
        <v>430204.1</v>
      </c>
      <c r="G114" s="16" t="n">
        <f aca="false">ROUND(E114+F114,2)</f>
        <v>1313759.68</v>
      </c>
    </row>
    <row r="115" customFormat="false" ht="15" hidden="false" customHeight="false" outlineLevel="0" collapsed="false">
      <c r="A115" s="14" t="s">
        <v>12</v>
      </c>
      <c r="B115" s="14" t="n">
        <v>2024</v>
      </c>
      <c r="C115" s="14" t="n">
        <v>11</v>
      </c>
      <c r="D115" s="14" t="s">
        <v>60</v>
      </c>
      <c r="E115" s="15" t="n">
        <v>836233.61</v>
      </c>
      <c r="F115" s="15" t="n">
        <v>378706.81</v>
      </c>
      <c r="G115" s="16" t="n">
        <f aca="false">ROUND(E115+F115,2)</f>
        <v>1214940.42</v>
      </c>
    </row>
    <row r="116" customFormat="false" ht="15" hidden="false" customHeight="false" outlineLevel="0" collapsed="false">
      <c r="A116" s="14" t="s">
        <v>12</v>
      </c>
      <c r="B116" s="14" t="n">
        <v>2024</v>
      </c>
      <c r="C116" s="14" t="n">
        <v>12</v>
      </c>
      <c r="D116" s="14" t="s">
        <v>61</v>
      </c>
      <c r="E116" s="15" t="n">
        <v>806417.21</v>
      </c>
      <c r="F116" s="15" t="n">
        <v>524352.73</v>
      </c>
      <c r="G116" s="16" t="n">
        <f aca="false">ROUND(E116+F116,2)</f>
        <v>1330769.94</v>
      </c>
    </row>
    <row r="117" customFormat="false" ht="15" hidden="false" customHeight="false" outlineLevel="0" collapsed="false">
      <c r="A117" s="14" t="s">
        <v>12</v>
      </c>
      <c r="B117" s="14" t="n">
        <v>2025</v>
      </c>
      <c r="C117" s="14" t="n">
        <v>1</v>
      </c>
      <c r="D117" s="14" t="s">
        <v>50</v>
      </c>
      <c r="E117" s="15" t="n">
        <v>829076.65</v>
      </c>
      <c r="F117" s="15" t="n">
        <v>404230.48</v>
      </c>
      <c r="G117" s="16" t="n">
        <f aca="false">ROUND(E117+F117,2)</f>
        <v>1233307.13</v>
      </c>
    </row>
    <row r="118" customFormat="false" ht="15" hidden="false" customHeight="false" outlineLevel="0" collapsed="false">
      <c r="A118" s="14" t="s">
        <v>12</v>
      </c>
      <c r="B118" s="14" t="n">
        <v>2025</v>
      </c>
      <c r="C118" s="14" t="n">
        <v>2</v>
      </c>
      <c r="D118" s="14" t="s">
        <v>51</v>
      </c>
      <c r="E118" s="15" t="n">
        <v>754873.11</v>
      </c>
      <c r="F118" s="15" t="n">
        <v>321312.58</v>
      </c>
      <c r="G118" s="16" t="n">
        <f aca="false">ROUND(E118+F118,2)</f>
        <v>1076185.69</v>
      </c>
    </row>
    <row r="119" customFormat="false" ht="15" hidden="false" customHeight="false" outlineLevel="0" collapsed="false">
      <c r="A119" s="14" t="s">
        <v>12</v>
      </c>
      <c r="B119" s="14" t="n">
        <v>2025</v>
      </c>
      <c r="C119" s="14" t="n">
        <v>3</v>
      </c>
      <c r="D119" s="14" t="s">
        <v>52</v>
      </c>
      <c r="E119" s="15" t="n">
        <v>721733.56</v>
      </c>
      <c r="F119" s="15" t="n">
        <v>311700.91</v>
      </c>
      <c r="G119" s="16" t="n">
        <f aca="false">ROUND(E119+F119,2)</f>
        <v>1033434.47</v>
      </c>
    </row>
    <row r="120" customFormat="false" ht="15" hidden="false" customHeight="false" outlineLevel="0" collapsed="false">
      <c r="A120" s="14" t="s">
        <v>12</v>
      </c>
      <c r="B120" s="14" t="n">
        <v>2025</v>
      </c>
      <c r="C120" s="14" t="n">
        <v>4</v>
      </c>
      <c r="D120" s="14" t="s">
        <v>53</v>
      </c>
      <c r="E120" s="15" t="n">
        <v>794366.42</v>
      </c>
      <c r="F120" s="15" t="n">
        <v>396674.02</v>
      </c>
      <c r="G120" s="16" t="n">
        <f aca="false">ROUND(E120+F120,2)</f>
        <v>1191040.44</v>
      </c>
    </row>
    <row r="121" customFormat="false" ht="15" hidden="false" customHeight="false" outlineLevel="0" collapsed="false">
      <c r="A121" s="14" t="s">
        <v>12</v>
      </c>
      <c r="B121" s="14" t="n">
        <v>2025</v>
      </c>
      <c r="C121" s="14" t="n">
        <v>5</v>
      </c>
      <c r="D121" s="14" t="s">
        <v>54</v>
      </c>
      <c r="E121" s="15" t="n">
        <v>843541.5</v>
      </c>
      <c r="F121" s="15" t="n">
        <v>318795.83</v>
      </c>
      <c r="G121" s="16" t="n">
        <f aca="false">ROUND(E121+F121,2)</f>
        <v>1162337.33</v>
      </c>
    </row>
    <row r="122" customFormat="false" ht="15" hidden="false" customHeight="false" outlineLevel="0" collapsed="false">
      <c r="A122" s="14" t="s">
        <v>12</v>
      </c>
      <c r="B122" s="14" t="n">
        <v>2025</v>
      </c>
      <c r="C122" s="14" t="n">
        <v>6</v>
      </c>
      <c r="D122" s="14" t="s">
        <v>55</v>
      </c>
      <c r="E122" s="15" t="n">
        <v>842462.61</v>
      </c>
      <c r="F122" s="15" t="n">
        <v>397210.57</v>
      </c>
      <c r="G122" s="16" t="n">
        <f aca="false">ROUND(E122+F122,2)</f>
        <v>1239673.18</v>
      </c>
    </row>
    <row r="123" customFormat="false" ht="15" hidden="false" customHeight="false" outlineLevel="0" collapsed="false">
      <c r="A123" s="14" t="s">
        <v>12</v>
      </c>
      <c r="B123" s="14" t="n">
        <v>2025</v>
      </c>
      <c r="C123" s="14" t="n">
        <v>7</v>
      </c>
      <c r="D123" s="14" t="s">
        <v>56</v>
      </c>
      <c r="E123" s="15" t="n">
        <v>881115.39</v>
      </c>
      <c r="F123" s="15" t="n">
        <v>338905.29</v>
      </c>
      <c r="G123" s="16" t="n">
        <f aca="false">ROUND(E123+F123,2)</f>
        <v>1220020.68</v>
      </c>
    </row>
    <row r="124" customFormat="false" ht="15" hidden="false" customHeight="false" outlineLevel="0" collapsed="false">
      <c r="A124" s="14" t="s">
        <v>12</v>
      </c>
      <c r="B124" s="14" t="n">
        <v>2025</v>
      </c>
      <c r="C124" s="14" t="n">
        <v>8</v>
      </c>
      <c r="D124" s="14" t="s">
        <v>57</v>
      </c>
      <c r="E124" s="15" t="n">
        <v>896227.92</v>
      </c>
      <c r="F124" s="15" t="n">
        <v>384976.34</v>
      </c>
      <c r="G124" s="16" t="n">
        <f aca="false">ROUND(E124+F124,2)</f>
        <v>1281204.26</v>
      </c>
    </row>
    <row r="125" customFormat="false" ht="15" hidden="false" customHeight="false" outlineLevel="0" collapsed="false">
      <c r="A125" s="14" t="s">
        <v>12</v>
      </c>
      <c r="B125" s="14" t="n">
        <v>2025</v>
      </c>
      <c r="C125" s="14" t="n">
        <v>9</v>
      </c>
      <c r="D125" s="14" t="s">
        <v>58</v>
      </c>
      <c r="E125" s="15" t="n">
        <v>820240.4</v>
      </c>
      <c r="F125" s="15" t="n">
        <v>377950.37</v>
      </c>
      <c r="G125" s="16" t="n">
        <f aca="false">ROUND(E125+F125,2)</f>
        <v>1198190.77</v>
      </c>
    </row>
    <row r="126" customFormat="false" ht="15" hidden="false" customHeight="false" outlineLevel="0" collapsed="false">
      <c r="A126" s="14" t="s">
        <v>12</v>
      </c>
      <c r="B126" s="14" t="n">
        <v>2025</v>
      </c>
      <c r="C126" s="14" t="n">
        <v>10</v>
      </c>
      <c r="D126" s="14" t="s">
        <v>59</v>
      </c>
      <c r="E126" s="15" t="n">
        <v>937519.25</v>
      </c>
      <c r="F126" s="15" t="n">
        <v>383275.41</v>
      </c>
      <c r="G126" s="16" t="n">
        <f aca="false">ROUND(E126+F126,2)</f>
        <v>1320794.66</v>
      </c>
    </row>
    <row r="127" customFormat="false" ht="15" hidden="false" customHeight="false" outlineLevel="0" collapsed="false">
      <c r="A127" s="14" t="s">
        <v>12</v>
      </c>
      <c r="B127" s="14" t="n">
        <v>2025</v>
      </c>
      <c r="C127" s="14" t="n">
        <v>11</v>
      </c>
      <c r="D127" s="14" t="s">
        <v>60</v>
      </c>
      <c r="E127" s="15" t="n">
        <v>774056.03</v>
      </c>
      <c r="F127" s="15" t="n">
        <v>262074.52</v>
      </c>
      <c r="G127" s="16" t="n">
        <f aca="false">ROUND(E127+F127,2)</f>
        <v>1036130.55</v>
      </c>
    </row>
    <row r="128" customFormat="false" ht="15" hidden="false" customHeight="false" outlineLevel="0" collapsed="false">
      <c r="A128" s="14" t="s">
        <v>12</v>
      </c>
      <c r="B128" s="14" t="n">
        <v>2025</v>
      </c>
      <c r="C128" s="14" t="n">
        <v>12</v>
      </c>
      <c r="D128" s="14" t="s">
        <v>61</v>
      </c>
      <c r="E128" s="15" t="n">
        <v>1078560.8</v>
      </c>
      <c r="F128" s="15" t="n">
        <v>316426.1</v>
      </c>
      <c r="G128" s="16" t="n">
        <f aca="false">ROUND(E128+F128,2)</f>
        <v>1394986.9</v>
      </c>
    </row>
    <row r="129" customFormat="false" ht="15" hidden="false" customHeight="false" outlineLevel="0" collapsed="false">
      <c r="A129" s="14" t="s">
        <v>12</v>
      </c>
      <c r="B129" s="14" t="n">
        <v>2026</v>
      </c>
      <c r="C129" s="14" t="n">
        <v>1</v>
      </c>
      <c r="D129" s="14" t="s">
        <v>50</v>
      </c>
      <c r="E129" s="15" t="n">
        <v>1054985.54</v>
      </c>
      <c r="F129" s="15" t="n">
        <v>330069.84</v>
      </c>
      <c r="G129" s="16" t="n">
        <f aca="false">ROUND(E129+F129,2)</f>
        <v>1385055.38</v>
      </c>
    </row>
    <row r="130" customFormat="false" ht="15" hidden="false" customHeight="false" outlineLevel="0" collapsed="false">
      <c r="A130" s="14" t="s">
        <v>12</v>
      </c>
      <c r="B130" s="14" t="n">
        <v>2026</v>
      </c>
      <c r="C130" s="14" t="n">
        <v>2</v>
      </c>
      <c r="D130" s="14" t="s">
        <v>51</v>
      </c>
      <c r="E130" s="15" t="n">
        <v>1024723.26</v>
      </c>
      <c r="F130" s="15" t="n">
        <v>328865.04</v>
      </c>
      <c r="G130" s="16" t="n">
        <f aca="false">ROUND(E130+F130,2)</f>
        <v>1353588.3</v>
      </c>
    </row>
    <row r="131" customFormat="false" ht="15" hidden="false" customHeight="false" outlineLevel="0" collapsed="false">
      <c r="A131" s="14" t="s">
        <v>12</v>
      </c>
      <c r="B131" s="14" t="n">
        <v>2026</v>
      </c>
      <c r="C131" s="14" t="n">
        <v>3</v>
      </c>
      <c r="D131" s="14" t="s">
        <v>52</v>
      </c>
      <c r="E131" s="15" t="n">
        <v>1021616.13</v>
      </c>
      <c r="F131" s="15" t="n">
        <v>358049.05</v>
      </c>
      <c r="G131" s="16" t="n">
        <f aca="false">ROUND(E131+F131,2)</f>
        <v>1379665.18</v>
      </c>
    </row>
    <row r="132" customFormat="false" ht="15" hidden="false" customHeight="false" outlineLevel="0" collapsed="false">
      <c r="A132" s="14" t="s">
        <v>12</v>
      </c>
      <c r="B132" s="14" t="n">
        <v>2026</v>
      </c>
      <c r="C132" s="14" t="n">
        <v>4</v>
      </c>
      <c r="D132" s="14" t="s">
        <v>53</v>
      </c>
      <c r="E132" s="15" t="n">
        <v>1051136.6</v>
      </c>
      <c r="F132" s="15" t="n">
        <v>400948.54</v>
      </c>
      <c r="G132" s="16" t="n">
        <f aca="false">ROUND(E132+F132,2)</f>
        <v>1452085.14</v>
      </c>
    </row>
    <row r="133" customFormat="false" ht="15" hidden="false" customHeight="false" outlineLevel="0" collapsed="false">
      <c r="A133" s="14" t="s">
        <v>12</v>
      </c>
      <c r="B133" s="14" t="n">
        <v>2026</v>
      </c>
      <c r="C133" s="14" t="n">
        <v>5</v>
      </c>
      <c r="D133" s="14" t="s">
        <v>54</v>
      </c>
      <c r="E133" s="15" t="n">
        <v>909791.1</v>
      </c>
      <c r="F133" s="15" t="n">
        <v>270315.59</v>
      </c>
      <c r="G133" s="16" t="n">
        <f aca="false">ROUND(E133+F133,2)</f>
        <v>1180106.69</v>
      </c>
    </row>
    <row r="134" customFormat="false" ht="15" hidden="false" customHeight="false" outlineLevel="0" collapsed="false">
      <c r="A134" s="14" t="s">
        <v>12</v>
      </c>
      <c r="B134" s="14" t="n">
        <v>2026</v>
      </c>
      <c r="C134" s="14" t="n">
        <v>6</v>
      </c>
      <c r="D134" s="14" t="s">
        <v>55</v>
      </c>
      <c r="E134" s="15" t="n">
        <v>912426.86</v>
      </c>
      <c r="F134" s="15" t="n">
        <v>392703.12</v>
      </c>
      <c r="G134" s="16" t="n">
        <f aca="false">ROUND(E134+F134,2)</f>
        <v>1305129.98</v>
      </c>
    </row>
    <row r="135" customFormat="false" ht="15" hidden="false" customHeight="false" outlineLevel="0" collapsed="false">
      <c r="A135" s="14" t="s">
        <v>12</v>
      </c>
      <c r="B135" s="14" t="n">
        <v>2026</v>
      </c>
      <c r="C135" s="14" t="n">
        <v>7</v>
      </c>
      <c r="D135" s="14" t="s">
        <v>56</v>
      </c>
      <c r="E135" s="15" t="n">
        <v>1013749.93</v>
      </c>
      <c r="F135" s="15" t="n">
        <v>591001.29</v>
      </c>
      <c r="G135" s="16" t="n">
        <f aca="false">ROUND(E135+F135,2)</f>
        <v>1604751.22</v>
      </c>
    </row>
    <row r="136" customFormat="false" ht="15" hidden="false" customHeight="false" outlineLevel="0" collapsed="false">
      <c r="A136" s="14" t="s">
        <v>27</v>
      </c>
      <c r="B136" s="14" t="n">
        <v>2021</v>
      </c>
      <c r="C136" s="14" t="n">
        <v>1</v>
      </c>
      <c r="D136" s="14" t="s">
        <v>50</v>
      </c>
      <c r="E136" s="15" t="n">
        <v>181803.51</v>
      </c>
      <c r="F136" s="15" t="n">
        <v>83277.74</v>
      </c>
      <c r="G136" s="16" t="n">
        <f aca="false">ROUND(E136+F136,2)</f>
        <v>265081.25</v>
      </c>
    </row>
    <row r="137" customFormat="false" ht="15" hidden="false" customHeight="false" outlineLevel="0" collapsed="false">
      <c r="A137" s="14" t="s">
        <v>27</v>
      </c>
      <c r="B137" s="14" t="n">
        <v>2021</v>
      </c>
      <c r="C137" s="14" t="n">
        <v>2</v>
      </c>
      <c r="D137" s="14" t="s">
        <v>51</v>
      </c>
      <c r="E137" s="15" t="n">
        <v>180852.81</v>
      </c>
      <c r="F137" s="15" t="n">
        <v>92413.28</v>
      </c>
      <c r="G137" s="16" t="n">
        <f aca="false">ROUND(E137+F137,2)</f>
        <v>273266.09</v>
      </c>
    </row>
    <row r="138" customFormat="false" ht="15" hidden="false" customHeight="false" outlineLevel="0" collapsed="false">
      <c r="A138" s="14" t="s">
        <v>27</v>
      </c>
      <c r="B138" s="14" t="n">
        <v>2021</v>
      </c>
      <c r="C138" s="14" t="n">
        <v>3</v>
      </c>
      <c r="D138" s="14" t="s">
        <v>52</v>
      </c>
      <c r="E138" s="15" t="n">
        <v>231924.62</v>
      </c>
      <c r="F138" s="15" t="n">
        <v>172863.29</v>
      </c>
      <c r="G138" s="16" t="n">
        <f aca="false">ROUND(E138+F138,2)</f>
        <v>404787.91</v>
      </c>
    </row>
    <row r="139" customFormat="false" ht="15" hidden="false" customHeight="false" outlineLevel="0" collapsed="false">
      <c r="A139" s="14" t="s">
        <v>27</v>
      </c>
      <c r="B139" s="14" t="n">
        <v>2021</v>
      </c>
      <c r="C139" s="14" t="n">
        <v>4</v>
      </c>
      <c r="D139" s="14" t="s">
        <v>53</v>
      </c>
      <c r="E139" s="15" t="n">
        <v>223042.68</v>
      </c>
      <c r="F139" s="15" t="n">
        <v>105923.2</v>
      </c>
      <c r="G139" s="16" t="n">
        <f aca="false">ROUND(E139+F139,2)</f>
        <v>328965.88</v>
      </c>
    </row>
    <row r="140" customFormat="false" ht="15" hidden="false" customHeight="false" outlineLevel="0" collapsed="false">
      <c r="A140" s="14" t="s">
        <v>27</v>
      </c>
      <c r="B140" s="14" t="n">
        <v>2021</v>
      </c>
      <c r="C140" s="14" t="n">
        <v>5</v>
      </c>
      <c r="D140" s="14" t="s">
        <v>54</v>
      </c>
      <c r="E140" s="15" t="n">
        <v>209491.39</v>
      </c>
      <c r="F140" s="15" t="n">
        <v>112524.79</v>
      </c>
      <c r="G140" s="16" t="n">
        <f aca="false">ROUND(E140+F140,2)</f>
        <v>322016.18</v>
      </c>
    </row>
    <row r="141" customFormat="false" ht="15" hidden="false" customHeight="false" outlineLevel="0" collapsed="false">
      <c r="A141" s="14" t="s">
        <v>27</v>
      </c>
      <c r="B141" s="14" t="n">
        <v>2021</v>
      </c>
      <c r="C141" s="14" t="n">
        <v>6</v>
      </c>
      <c r="D141" s="14" t="s">
        <v>55</v>
      </c>
      <c r="E141" s="15" t="n">
        <v>235133.38</v>
      </c>
      <c r="F141" s="15" t="n">
        <v>149450.84</v>
      </c>
      <c r="G141" s="16" t="n">
        <f aca="false">ROUND(E141+F141,2)</f>
        <v>384584.22</v>
      </c>
    </row>
    <row r="142" customFormat="false" ht="15" hidden="false" customHeight="false" outlineLevel="0" collapsed="false">
      <c r="A142" s="14" t="s">
        <v>27</v>
      </c>
      <c r="B142" s="14" t="n">
        <v>2021</v>
      </c>
      <c r="C142" s="14" t="n">
        <v>7</v>
      </c>
      <c r="D142" s="14" t="s">
        <v>56</v>
      </c>
      <c r="E142" s="15" t="n">
        <v>216219.94</v>
      </c>
      <c r="F142" s="15" t="n">
        <v>113808.2</v>
      </c>
      <c r="G142" s="16" t="n">
        <f aca="false">ROUND(E142+F142,2)</f>
        <v>330028.14</v>
      </c>
    </row>
    <row r="143" customFormat="false" ht="15" hidden="false" customHeight="false" outlineLevel="0" collapsed="false">
      <c r="A143" s="14" t="s">
        <v>27</v>
      </c>
      <c r="B143" s="14" t="n">
        <v>2021</v>
      </c>
      <c r="C143" s="14" t="n">
        <v>8</v>
      </c>
      <c r="D143" s="14" t="s">
        <v>57</v>
      </c>
      <c r="E143" s="15" t="n">
        <v>255786.57</v>
      </c>
      <c r="F143" s="15" t="n">
        <v>140002.76</v>
      </c>
      <c r="G143" s="16" t="n">
        <f aca="false">ROUND(E143+F143,2)</f>
        <v>395789.33</v>
      </c>
    </row>
    <row r="144" customFormat="false" ht="15" hidden="false" customHeight="false" outlineLevel="0" collapsed="false">
      <c r="A144" s="14" t="s">
        <v>27</v>
      </c>
      <c r="B144" s="14" t="n">
        <v>2021</v>
      </c>
      <c r="C144" s="14" t="n">
        <v>9</v>
      </c>
      <c r="D144" s="14" t="s">
        <v>58</v>
      </c>
      <c r="E144" s="15" t="n">
        <v>200532.1</v>
      </c>
      <c r="F144" s="15" t="n">
        <v>144684.09</v>
      </c>
      <c r="G144" s="16" t="n">
        <f aca="false">ROUND(E144+F144,2)</f>
        <v>345216.19</v>
      </c>
    </row>
    <row r="145" customFormat="false" ht="15" hidden="false" customHeight="false" outlineLevel="0" collapsed="false">
      <c r="A145" s="14" t="s">
        <v>27</v>
      </c>
      <c r="B145" s="14" t="n">
        <v>2021</v>
      </c>
      <c r="C145" s="14" t="n">
        <v>10</v>
      </c>
      <c r="D145" s="14" t="s">
        <v>59</v>
      </c>
      <c r="E145" s="15" t="n">
        <v>215769.02</v>
      </c>
      <c r="F145" s="15" t="n">
        <v>114954.65</v>
      </c>
      <c r="G145" s="16" t="n">
        <f aca="false">ROUND(E145+F145,2)</f>
        <v>330723.67</v>
      </c>
    </row>
    <row r="146" customFormat="false" ht="15" hidden="false" customHeight="false" outlineLevel="0" collapsed="false">
      <c r="A146" s="14" t="s">
        <v>27</v>
      </c>
      <c r="B146" s="14" t="n">
        <v>2021</v>
      </c>
      <c r="C146" s="14" t="n">
        <v>11</v>
      </c>
      <c r="D146" s="14" t="s">
        <v>60</v>
      </c>
      <c r="E146" s="15" t="n">
        <v>225644.9</v>
      </c>
      <c r="F146" s="15" t="n">
        <v>125545.91</v>
      </c>
      <c r="G146" s="16" t="n">
        <f aca="false">ROUND(E146+F146,2)</f>
        <v>351190.81</v>
      </c>
    </row>
    <row r="147" customFormat="false" ht="15" hidden="false" customHeight="false" outlineLevel="0" collapsed="false">
      <c r="A147" s="14" t="s">
        <v>27</v>
      </c>
      <c r="B147" s="14" t="n">
        <v>2021</v>
      </c>
      <c r="C147" s="14" t="n">
        <v>12</v>
      </c>
      <c r="D147" s="14" t="s">
        <v>61</v>
      </c>
      <c r="E147" s="15" t="n">
        <v>228552.45</v>
      </c>
      <c r="F147" s="15" t="n">
        <v>124641.43</v>
      </c>
      <c r="G147" s="16" t="n">
        <f aca="false">ROUND(E147+F147,2)</f>
        <v>353193.88</v>
      </c>
    </row>
    <row r="148" customFormat="false" ht="15" hidden="false" customHeight="false" outlineLevel="0" collapsed="false">
      <c r="A148" s="14" t="s">
        <v>27</v>
      </c>
      <c r="B148" s="14" t="n">
        <v>2022</v>
      </c>
      <c r="C148" s="14" t="n">
        <v>1</v>
      </c>
      <c r="D148" s="14" t="s">
        <v>50</v>
      </c>
      <c r="E148" s="15" t="n">
        <v>218086.86</v>
      </c>
      <c r="F148" s="15" t="n">
        <v>115061.69</v>
      </c>
      <c r="G148" s="16" t="n">
        <f aca="false">ROUND(E148+F148,2)</f>
        <v>333148.55</v>
      </c>
    </row>
    <row r="149" customFormat="false" ht="15" hidden="false" customHeight="false" outlineLevel="0" collapsed="false">
      <c r="A149" s="14" t="s">
        <v>27</v>
      </c>
      <c r="B149" s="14" t="n">
        <v>2022</v>
      </c>
      <c r="C149" s="14" t="n">
        <v>2</v>
      </c>
      <c r="D149" s="14" t="s">
        <v>51</v>
      </c>
      <c r="E149" s="15" t="n">
        <v>230352.23</v>
      </c>
      <c r="F149" s="15" t="n">
        <v>116188.59</v>
      </c>
      <c r="G149" s="16" t="n">
        <f aca="false">ROUND(E149+F149,2)</f>
        <v>346540.82</v>
      </c>
    </row>
    <row r="150" customFormat="false" ht="15" hidden="false" customHeight="false" outlineLevel="0" collapsed="false">
      <c r="A150" s="14" t="s">
        <v>27</v>
      </c>
      <c r="B150" s="14" t="n">
        <v>2022</v>
      </c>
      <c r="C150" s="14" t="n">
        <v>3</v>
      </c>
      <c r="D150" s="14" t="s">
        <v>52</v>
      </c>
      <c r="E150" s="15" t="n">
        <v>261628.55</v>
      </c>
      <c r="F150" s="15" t="n">
        <v>132253.24</v>
      </c>
      <c r="G150" s="16" t="n">
        <f aca="false">ROUND(E150+F150,2)</f>
        <v>393881.79</v>
      </c>
    </row>
    <row r="151" customFormat="false" ht="15" hidden="false" customHeight="false" outlineLevel="0" collapsed="false">
      <c r="A151" s="14" t="s">
        <v>27</v>
      </c>
      <c r="B151" s="14" t="n">
        <v>2022</v>
      </c>
      <c r="C151" s="14" t="n">
        <v>4</v>
      </c>
      <c r="D151" s="14" t="s">
        <v>53</v>
      </c>
      <c r="E151" s="15" t="n">
        <v>327193.7</v>
      </c>
      <c r="F151" s="15" t="n">
        <v>151471.2</v>
      </c>
      <c r="G151" s="16" t="n">
        <f aca="false">ROUND(E151+F151,2)</f>
        <v>478664.9</v>
      </c>
    </row>
    <row r="152" customFormat="false" ht="15" hidden="false" customHeight="false" outlineLevel="0" collapsed="false">
      <c r="A152" s="14" t="s">
        <v>27</v>
      </c>
      <c r="B152" s="14" t="n">
        <v>2022</v>
      </c>
      <c r="C152" s="14" t="n">
        <v>5</v>
      </c>
      <c r="D152" s="14" t="s">
        <v>54</v>
      </c>
      <c r="E152" s="15" t="n">
        <v>299771.21</v>
      </c>
      <c r="F152" s="15" t="n">
        <v>146015.53</v>
      </c>
      <c r="G152" s="16" t="n">
        <f aca="false">ROUND(E152+F152,2)</f>
        <v>445786.74</v>
      </c>
    </row>
    <row r="153" customFormat="false" ht="15" hidden="false" customHeight="false" outlineLevel="0" collapsed="false">
      <c r="A153" s="14" t="s">
        <v>27</v>
      </c>
      <c r="B153" s="14" t="n">
        <v>2022</v>
      </c>
      <c r="C153" s="14" t="n">
        <v>6</v>
      </c>
      <c r="D153" s="14" t="s">
        <v>55</v>
      </c>
      <c r="E153" s="15" t="n">
        <v>291072.7</v>
      </c>
      <c r="F153" s="15" t="n">
        <v>139407.06</v>
      </c>
      <c r="G153" s="16" t="n">
        <f aca="false">ROUND(E153+F153,2)</f>
        <v>430479.76</v>
      </c>
    </row>
    <row r="154" customFormat="false" ht="15" hidden="false" customHeight="false" outlineLevel="0" collapsed="false">
      <c r="A154" s="14" t="s">
        <v>27</v>
      </c>
      <c r="B154" s="14" t="n">
        <v>2022</v>
      </c>
      <c r="C154" s="14" t="n">
        <v>7</v>
      </c>
      <c r="D154" s="14" t="s">
        <v>56</v>
      </c>
      <c r="E154" s="15" t="n">
        <v>252202.82</v>
      </c>
      <c r="F154" s="15" t="n">
        <v>131812.82</v>
      </c>
      <c r="G154" s="16" t="n">
        <f aca="false">ROUND(E154+F154,2)</f>
        <v>384015.64</v>
      </c>
    </row>
    <row r="155" customFormat="false" ht="15" hidden="false" customHeight="false" outlineLevel="0" collapsed="false">
      <c r="A155" s="14" t="s">
        <v>27</v>
      </c>
      <c r="B155" s="14" t="n">
        <v>2022</v>
      </c>
      <c r="C155" s="14" t="n">
        <v>8</v>
      </c>
      <c r="D155" s="14" t="s">
        <v>57</v>
      </c>
      <c r="E155" s="15" t="n">
        <v>308420.32</v>
      </c>
      <c r="F155" s="15" t="n">
        <v>167988.34</v>
      </c>
      <c r="G155" s="16" t="n">
        <f aca="false">ROUND(E155+F155,2)</f>
        <v>476408.66</v>
      </c>
    </row>
    <row r="156" customFormat="false" ht="15" hidden="false" customHeight="false" outlineLevel="0" collapsed="false">
      <c r="A156" s="14" t="s">
        <v>27</v>
      </c>
      <c r="B156" s="14" t="n">
        <v>2022</v>
      </c>
      <c r="C156" s="14" t="n">
        <v>9</v>
      </c>
      <c r="D156" s="14" t="s">
        <v>58</v>
      </c>
      <c r="E156" s="15" t="n">
        <v>308402.37</v>
      </c>
      <c r="F156" s="15" t="n">
        <v>145297.05</v>
      </c>
      <c r="G156" s="16" t="n">
        <f aca="false">ROUND(E156+F156,2)</f>
        <v>453699.42</v>
      </c>
    </row>
    <row r="157" customFormat="false" ht="15" hidden="false" customHeight="false" outlineLevel="0" collapsed="false">
      <c r="A157" s="14" t="s">
        <v>27</v>
      </c>
      <c r="B157" s="14" t="n">
        <v>2022</v>
      </c>
      <c r="C157" s="14" t="n">
        <v>10</v>
      </c>
      <c r="D157" s="14" t="s">
        <v>59</v>
      </c>
      <c r="E157" s="15" t="n">
        <v>291527.95</v>
      </c>
      <c r="F157" s="15" t="n">
        <v>146389.04</v>
      </c>
      <c r="G157" s="16" t="n">
        <f aca="false">ROUND(E157+F157,2)</f>
        <v>437916.99</v>
      </c>
    </row>
    <row r="158" customFormat="false" ht="15" hidden="false" customHeight="false" outlineLevel="0" collapsed="false">
      <c r="A158" s="14" t="s">
        <v>27</v>
      </c>
      <c r="B158" s="14" t="n">
        <v>2022</v>
      </c>
      <c r="C158" s="14" t="n">
        <v>11</v>
      </c>
      <c r="D158" s="14" t="s">
        <v>60</v>
      </c>
      <c r="E158" s="15" t="n">
        <v>273161.34</v>
      </c>
      <c r="F158" s="15" t="n">
        <v>120623.1</v>
      </c>
      <c r="G158" s="16" t="n">
        <f aca="false">ROUND(E158+F158,2)</f>
        <v>393784.44</v>
      </c>
    </row>
    <row r="159" customFormat="false" ht="15" hidden="false" customHeight="false" outlineLevel="0" collapsed="false">
      <c r="A159" s="14" t="s">
        <v>27</v>
      </c>
      <c r="B159" s="14" t="n">
        <v>2022</v>
      </c>
      <c r="C159" s="14" t="n">
        <v>12</v>
      </c>
      <c r="D159" s="14" t="s">
        <v>61</v>
      </c>
      <c r="E159" s="15" t="n">
        <v>286341.35</v>
      </c>
      <c r="F159" s="15" t="n">
        <v>140212.4</v>
      </c>
      <c r="G159" s="16" t="n">
        <f aca="false">ROUND(E159+F159,2)</f>
        <v>426553.75</v>
      </c>
    </row>
    <row r="160" customFormat="false" ht="15" hidden="false" customHeight="false" outlineLevel="0" collapsed="false">
      <c r="A160" s="14" t="s">
        <v>27</v>
      </c>
      <c r="B160" s="14" t="n">
        <v>2023</v>
      </c>
      <c r="C160" s="14" t="n">
        <v>1</v>
      </c>
      <c r="D160" s="14" t="s">
        <v>50</v>
      </c>
      <c r="E160" s="15" t="n">
        <v>236593.79</v>
      </c>
      <c r="F160" s="15" t="n">
        <v>156167.47</v>
      </c>
      <c r="G160" s="16" t="n">
        <f aca="false">ROUND(E160+F160,2)</f>
        <v>392761.26</v>
      </c>
    </row>
    <row r="161" customFormat="false" ht="15" hidden="false" customHeight="false" outlineLevel="0" collapsed="false">
      <c r="A161" s="14" t="s">
        <v>27</v>
      </c>
      <c r="B161" s="14" t="n">
        <v>2023</v>
      </c>
      <c r="C161" s="14" t="n">
        <v>2</v>
      </c>
      <c r="D161" s="14" t="s">
        <v>51</v>
      </c>
      <c r="E161" s="15" t="n">
        <v>222982.69</v>
      </c>
      <c r="F161" s="15" t="n">
        <v>138024.71</v>
      </c>
      <c r="G161" s="16" t="n">
        <f aca="false">ROUND(E161+F161,2)</f>
        <v>361007.4</v>
      </c>
    </row>
    <row r="162" customFormat="false" ht="15" hidden="false" customHeight="false" outlineLevel="0" collapsed="false">
      <c r="A162" s="14" t="s">
        <v>27</v>
      </c>
      <c r="B162" s="14" t="n">
        <v>2023</v>
      </c>
      <c r="C162" s="14" t="n">
        <v>3</v>
      </c>
      <c r="D162" s="14" t="s">
        <v>52</v>
      </c>
      <c r="E162" s="15" t="n">
        <v>300885.79</v>
      </c>
      <c r="F162" s="15" t="n">
        <v>203223.22</v>
      </c>
      <c r="G162" s="16" t="n">
        <f aca="false">ROUND(E162+F162,2)</f>
        <v>504109.01</v>
      </c>
    </row>
    <row r="163" customFormat="false" ht="15" hidden="false" customHeight="false" outlineLevel="0" collapsed="false">
      <c r="A163" s="14" t="s">
        <v>27</v>
      </c>
      <c r="B163" s="14" t="n">
        <v>2023</v>
      </c>
      <c r="C163" s="14" t="n">
        <v>4</v>
      </c>
      <c r="D163" s="14" t="s">
        <v>53</v>
      </c>
      <c r="E163" s="15" t="n">
        <v>285622.46</v>
      </c>
      <c r="F163" s="15" t="n">
        <v>155883.71</v>
      </c>
      <c r="G163" s="16" t="n">
        <f aca="false">ROUND(E163+F163,2)</f>
        <v>441506.17</v>
      </c>
    </row>
    <row r="164" customFormat="false" ht="15" hidden="false" customHeight="false" outlineLevel="0" collapsed="false">
      <c r="A164" s="14" t="s">
        <v>27</v>
      </c>
      <c r="B164" s="14" t="n">
        <v>2023</v>
      </c>
      <c r="C164" s="14" t="n">
        <v>5</v>
      </c>
      <c r="D164" s="14" t="s">
        <v>54</v>
      </c>
      <c r="E164" s="15" t="n">
        <v>319622.16</v>
      </c>
      <c r="F164" s="15" t="n">
        <v>179888.25</v>
      </c>
      <c r="G164" s="16" t="n">
        <f aca="false">ROUND(E164+F164,2)</f>
        <v>499510.41</v>
      </c>
    </row>
    <row r="165" customFormat="false" ht="15" hidden="false" customHeight="false" outlineLevel="0" collapsed="false">
      <c r="A165" s="14" t="s">
        <v>27</v>
      </c>
      <c r="B165" s="14" t="n">
        <v>2023</v>
      </c>
      <c r="C165" s="14" t="n">
        <v>6</v>
      </c>
      <c r="D165" s="14" t="s">
        <v>55</v>
      </c>
      <c r="E165" s="15" t="n">
        <v>317192.37</v>
      </c>
      <c r="F165" s="15" t="n">
        <v>217237.68</v>
      </c>
      <c r="G165" s="16" t="n">
        <f aca="false">ROUND(E165+F165,2)</f>
        <v>534430.05</v>
      </c>
    </row>
    <row r="166" customFormat="false" ht="15" hidden="false" customHeight="false" outlineLevel="0" collapsed="false">
      <c r="A166" s="14" t="s">
        <v>27</v>
      </c>
      <c r="B166" s="14" t="n">
        <v>2023</v>
      </c>
      <c r="C166" s="14" t="n">
        <v>7</v>
      </c>
      <c r="D166" s="14" t="s">
        <v>56</v>
      </c>
      <c r="E166" s="15" t="n">
        <v>279398.08</v>
      </c>
      <c r="F166" s="15" t="n">
        <v>167924.71</v>
      </c>
      <c r="G166" s="16" t="n">
        <f aca="false">ROUND(E166+F166,2)</f>
        <v>447322.79</v>
      </c>
    </row>
    <row r="167" customFormat="false" ht="15" hidden="false" customHeight="false" outlineLevel="0" collapsed="false">
      <c r="A167" s="14" t="s">
        <v>27</v>
      </c>
      <c r="B167" s="14" t="n">
        <v>2023</v>
      </c>
      <c r="C167" s="14" t="n">
        <v>8</v>
      </c>
      <c r="D167" s="14" t="s">
        <v>57</v>
      </c>
      <c r="E167" s="15" t="n">
        <v>326545.52</v>
      </c>
      <c r="F167" s="15" t="n">
        <v>187924.98</v>
      </c>
      <c r="G167" s="16" t="n">
        <f aca="false">ROUND(E167+F167,2)</f>
        <v>514470.5</v>
      </c>
    </row>
    <row r="168" customFormat="false" ht="15" hidden="false" customHeight="false" outlineLevel="0" collapsed="false">
      <c r="A168" s="14" t="s">
        <v>27</v>
      </c>
      <c r="B168" s="14" t="n">
        <v>2023</v>
      </c>
      <c r="C168" s="14" t="n">
        <v>9</v>
      </c>
      <c r="D168" s="14" t="s">
        <v>58</v>
      </c>
      <c r="E168" s="15" t="n">
        <v>294869.05</v>
      </c>
      <c r="F168" s="15" t="n">
        <v>190382.26</v>
      </c>
      <c r="G168" s="16" t="n">
        <f aca="false">ROUND(E168+F168,2)</f>
        <v>485251.31</v>
      </c>
    </row>
    <row r="169" customFormat="false" ht="15" hidden="false" customHeight="false" outlineLevel="0" collapsed="false">
      <c r="A169" s="14" t="s">
        <v>27</v>
      </c>
      <c r="B169" s="14" t="n">
        <v>2023</v>
      </c>
      <c r="C169" s="14" t="n">
        <v>10</v>
      </c>
      <c r="D169" s="14" t="s">
        <v>59</v>
      </c>
      <c r="E169" s="15" t="n">
        <v>260085.81</v>
      </c>
      <c r="F169" s="15" t="n">
        <v>178892.53</v>
      </c>
      <c r="G169" s="16" t="n">
        <f aca="false">ROUND(E169+F169,2)</f>
        <v>438978.34</v>
      </c>
    </row>
    <row r="170" customFormat="false" ht="15" hidden="false" customHeight="false" outlineLevel="0" collapsed="false">
      <c r="A170" s="14" t="s">
        <v>27</v>
      </c>
      <c r="B170" s="14" t="n">
        <v>2023</v>
      </c>
      <c r="C170" s="14" t="n">
        <v>11</v>
      </c>
      <c r="D170" s="14" t="s">
        <v>60</v>
      </c>
      <c r="E170" s="15" t="n">
        <v>298255.3</v>
      </c>
      <c r="F170" s="15" t="n">
        <v>195997.78</v>
      </c>
      <c r="G170" s="16" t="n">
        <f aca="false">ROUND(E170+F170,2)</f>
        <v>494253.08</v>
      </c>
    </row>
    <row r="171" customFormat="false" ht="15" hidden="false" customHeight="false" outlineLevel="0" collapsed="false">
      <c r="A171" s="14" t="s">
        <v>27</v>
      </c>
      <c r="B171" s="14" t="n">
        <v>2023</v>
      </c>
      <c r="C171" s="14" t="n">
        <v>12</v>
      </c>
      <c r="D171" s="14" t="s">
        <v>61</v>
      </c>
      <c r="E171" s="15" t="n">
        <v>228060.24</v>
      </c>
      <c r="F171" s="15" t="n">
        <v>160069.61</v>
      </c>
      <c r="G171" s="16" t="n">
        <f aca="false">ROUND(E171+F171,2)</f>
        <v>388129.85</v>
      </c>
    </row>
    <row r="172" customFormat="false" ht="15" hidden="false" customHeight="false" outlineLevel="0" collapsed="false">
      <c r="A172" s="14" t="s">
        <v>27</v>
      </c>
      <c r="B172" s="14" t="n">
        <v>2024</v>
      </c>
      <c r="C172" s="14" t="n">
        <v>1</v>
      </c>
      <c r="D172" s="14" t="s">
        <v>50</v>
      </c>
      <c r="E172" s="15" t="n">
        <v>297212.23</v>
      </c>
      <c r="F172" s="15" t="n">
        <v>182608.3</v>
      </c>
      <c r="G172" s="16" t="n">
        <f aca="false">ROUND(E172+F172,2)</f>
        <v>479820.53</v>
      </c>
    </row>
    <row r="173" customFormat="false" ht="15" hidden="false" customHeight="false" outlineLevel="0" collapsed="false">
      <c r="A173" s="14" t="s">
        <v>27</v>
      </c>
      <c r="B173" s="14" t="n">
        <v>2024</v>
      </c>
      <c r="C173" s="14" t="n">
        <v>2</v>
      </c>
      <c r="D173" s="14" t="s">
        <v>51</v>
      </c>
      <c r="E173" s="15" t="n">
        <v>201268.85</v>
      </c>
      <c r="F173" s="15" t="n">
        <v>162145.78</v>
      </c>
      <c r="G173" s="16" t="n">
        <f aca="false">ROUND(E173+F173,2)</f>
        <v>363414.63</v>
      </c>
    </row>
    <row r="174" customFormat="false" ht="15" hidden="false" customHeight="false" outlineLevel="0" collapsed="false">
      <c r="A174" s="14" t="s">
        <v>27</v>
      </c>
      <c r="B174" s="14" t="n">
        <v>2024</v>
      </c>
      <c r="C174" s="14" t="n">
        <v>3</v>
      </c>
      <c r="D174" s="14" t="s">
        <v>52</v>
      </c>
      <c r="E174" s="15" t="n">
        <v>239571.92</v>
      </c>
      <c r="F174" s="15" t="n">
        <v>165430.48</v>
      </c>
      <c r="G174" s="16" t="n">
        <f aca="false">ROUND(E174+F174,2)</f>
        <v>405002.4</v>
      </c>
    </row>
    <row r="175" customFormat="false" ht="15" hidden="false" customHeight="false" outlineLevel="0" collapsed="false">
      <c r="A175" s="14" t="s">
        <v>27</v>
      </c>
      <c r="B175" s="14" t="n">
        <v>2024</v>
      </c>
      <c r="C175" s="14" t="n">
        <v>4</v>
      </c>
      <c r="D175" s="14" t="s">
        <v>53</v>
      </c>
      <c r="E175" s="15" t="n">
        <v>256253.67</v>
      </c>
      <c r="F175" s="15" t="n">
        <v>160387.81</v>
      </c>
      <c r="G175" s="16" t="n">
        <f aca="false">ROUND(E175+F175,2)</f>
        <v>416641.48</v>
      </c>
    </row>
    <row r="176" customFormat="false" ht="15" hidden="false" customHeight="false" outlineLevel="0" collapsed="false">
      <c r="A176" s="14" t="s">
        <v>27</v>
      </c>
      <c r="B176" s="14" t="n">
        <v>2024</v>
      </c>
      <c r="C176" s="14" t="n">
        <v>5</v>
      </c>
      <c r="D176" s="14" t="s">
        <v>54</v>
      </c>
      <c r="E176" s="15" t="n">
        <v>244181.56</v>
      </c>
      <c r="F176" s="15" t="n">
        <v>142493.19</v>
      </c>
      <c r="G176" s="16" t="n">
        <f aca="false">ROUND(E176+F176,2)</f>
        <v>386674.75</v>
      </c>
    </row>
    <row r="177" customFormat="false" ht="15" hidden="false" customHeight="false" outlineLevel="0" collapsed="false">
      <c r="A177" s="14" t="s">
        <v>27</v>
      </c>
      <c r="B177" s="14" t="n">
        <v>2024</v>
      </c>
      <c r="C177" s="14" t="n">
        <v>6</v>
      </c>
      <c r="D177" s="14" t="s">
        <v>55</v>
      </c>
      <c r="E177" s="15" t="n">
        <v>65724.32</v>
      </c>
      <c r="F177" s="15" t="n">
        <v>42772.06</v>
      </c>
      <c r="G177" s="16" t="n">
        <f aca="false">ROUND(E177+F177,2)</f>
        <v>108496.38</v>
      </c>
    </row>
    <row r="178" customFormat="false" ht="15" hidden="false" customHeight="false" outlineLevel="0" collapsed="false">
      <c r="A178" s="14" t="s">
        <v>27</v>
      </c>
      <c r="B178" s="14" t="n">
        <v>2024</v>
      </c>
      <c r="C178" s="14" t="n">
        <v>7</v>
      </c>
      <c r="D178" s="14" t="s">
        <v>56</v>
      </c>
      <c r="E178" s="15" t="n">
        <v>309668.51</v>
      </c>
      <c r="F178" s="15" t="n">
        <v>183662.78</v>
      </c>
      <c r="G178" s="16" t="n">
        <f aca="false">ROUND(E178+F178,2)</f>
        <v>493331.29</v>
      </c>
    </row>
    <row r="179" customFormat="false" ht="15" hidden="false" customHeight="false" outlineLevel="0" collapsed="false">
      <c r="A179" s="14" t="s">
        <v>27</v>
      </c>
      <c r="B179" s="14" t="n">
        <v>2024</v>
      </c>
      <c r="C179" s="14" t="n">
        <v>8</v>
      </c>
      <c r="D179" s="14" t="s">
        <v>57</v>
      </c>
      <c r="E179" s="15" t="n">
        <v>399672.41</v>
      </c>
      <c r="F179" s="15" t="n">
        <v>223212.62</v>
      </c>
      <c r="G179" s="16" t="n">
        <f aca="false">ROUND(E179+F179,2)</f>
        <v>622885.03</v>
      </c>
    </row>
    <row r="180" customFormat="false" ht="15" hidden="false" customHeight="false" outlineLevel="0" collapsed="false">
      <c r="A180" s="14" t="s">
        <v>27</v>
      </c>
      <c r="B180" s="14" t="n">
        <v>2024</v>
      </c>
      <c r="C180" s="14" t="n">
        <v>9</v>
      </c>
      <c r="D180" s="14" t="s">
        <v>58</v>
      </c>
      <c r="E180" s="15" t="n">
        <v>394020.15</v>
      </c>
      <c r="F180" s="15" t="n">
        <v>201996.63</v>
      </c>
      <c r="G180" s="16" t="n">
        <f aca="false">ROUND(E180+F180,2)</f>
        <v>596016.78</v>
      </c>
    </row>
    <row r="181" customFormat="false" ht="15" hidden="false" customHeight="false" outlineLevel="0" collapsed="false">
      <c r="A181" s="14" t="s">
        <v>27</v>
      </c>
      <c r="B181" s="14" t="n">
        <v>2024</v>
      </c>
      <c r="C181" s="14" t="n">
        <v>10</v>
      </c>
      <c r="D181" s="14" t="s">
        <v>59</v>
      </c>
      <c r="E181" s="15" t="n">
        <v>424011.61</v>
      </c>
      <c r="F181" s="15" t="n">
        <v>276952.53</v>
      </c>
      <c r="G181" s="16" t="n">
        <f aca="false">ROUND(E181+F181,2)</f>
        <v>700964.14</v>
      </c>
    </row>
    <row r="182" customFormat="false" ht="15" hidden="false" customHeight="false" outlineLevel="0" collapsed="false">
      <c r="A182" s="14" t="s">
        <v>27</v>
      </c>
      <c r="B182" s="14" t="n">
        <v>2024</v>
      </c>
      <c r="C182" s="14" t="n">
        <v>11</v>
      </c>
      <c r="D182" s="14" t="s">
        <v>60</v>
      </c>
      <c r="E182" s="15" t="n">
        <v>412533.16</v>
      </c>
      <c r="F182" s="15" t="n">
        <v>232049.47</v>
      </c>
      <c r="G182" s="16" t="n">
        <f aca="false">ROUND(E182+F182,2)</f>
        <v>644582.63</v>
      </c>
    </row>
    <row r="183" customFormat="false" ht="15" hidden="false" customHeight="false" outlineLevel="0" collapsed="false">
      <c r="A183" s="14" t="s">
        <v>27</v>
      </c>
      <c r="B183" s="14" t="n">
        <v>2024</v>
      </c>
      <c r="C183" s="14" t="n">
        <v>12</v>
      </c>
      <c r="D183" s="14" t="s">
        <v>61</v>
      </c>
      <c r="E183" s="15" t="n">
        <v>335215.75</v>
      </c>
      <c r="F183" s="15" t="n">
        <v>195675.03</v>
      </c>
      <c r="G183" s="16" t="n">
        <f aca="false">ROUND(E183+F183,2)</f>
        <v>530890.78</v>
      </c>
    </row>
    <row r="184" customFormat="false" ht="15" hidden="false" customHeight="false" outlineLevel="0" collapsed="false">
      <c r="A184" s="14" t="s">
        <v>27</v>
      </c>
      <c r="B184" s="14" t="n">
        <v>2025</v>
      </c>
      <c r="C184" s="14" t="n">
        <v>1</v>
      </c>
      <c r="D184" s="14" t="s">
        <v>50</v>
      </c>
      <c r="E184" s="15" t="n">
        <v>388690.59</v>
      </c>
      <c r="F184" s="15" t="n">
        <v>213739.3</v>
      </c>
      <c r="G184" s="16" t="n">
        <f aca="false">ROUND(E184+F184,2)</f>
        <v>602429.89</v>
      </c>
    </row>
    <row r="185" customFormat="false" ht="15" hidden="false" customHeight="false" outlineLevel="0" collapsed="false">
      <c r="A185" s="14" t="s">
        <v>27</v>
      </c>
      <c r="B185" s="14" t="n">
        <v>2025</v>
      </c>
      <c r="C185" s="14" t="n">
        <v>2</v>
      </c>
      <c r="D185" s="14" t="s">
        <v>51</v>
      </c>
      <c r="E185" s="15" t="n">
        <v>340253.4</v>
      </c>
      <c r="F185" s="15" t="n">
        <v>187991.39</v>
      </c>
      <c r="G185" s="16" t="n">
        <f aca="false">ROUND(E185+F185,2)</f>
        <v>528244.79</v>
      </c>
    </row>
    <row r="186" customFormat="false" ht="15" hidden="false" customHeight="false" outlineLevel="0" collapsed="false">
      <c r="A186" s="14" t="s">
        <v>27</v>
      </c>
      <c r="B186" s="14" t="n">
        <v>2025</v>
      </c>
      <c r="C186" s="14" t="n">
        <v>3</v>
      </c>
      <c r="D186" s="14" t="s">
        <v>52</v>
      </c>
      <c r="E186" s="15" t="n">
        <v>363438.9</v>
      </c>
      <c r="F186" s="15" t="n">
        <v>179701.02</v>
      </c>
      <c r="G186" s="16" t="n">
        <f aca="false">ROUND(E186+F186,2)</f>
        <v>543139.92</v>
      </c>
    </row>
    <row r="187" customFormat="false" ht="15" hidden="false" customHeight="false" outlineLevel="0" collapsed="false">
      <c r="A187" s="14" t="s">
        <v>27</v>
      </c>
      <c r="B187" s="14" t="n">
        <v>2025</v>
      </c>
      <c r="C187" s="14" t="n">
        <v>4</v>
      </c>
      <c r="D187" s="14" t="s">
        <v>53</v>
      </c>
      <c r="E187" s="15" t="n">
        <v>368519.12</v>
      </c>
      <c r="F187" s="15" t="n">
        <v>206330.77</v>
      </c>
      <c r="G187" s="16" t="n">
        <f aca="false">ROUND(E187+F187,2)</f>
        <v>574849.89</v>
      </c>
    </row>
    <row r="188" customFormat="false" ht="15" hidden="false" customHeight="false" outlineLevel="0" collapsed="false">
      <c r="A188" s="14" t="s">
        <v>27</v>
      </c>
      <c r="B188" s="14" t="n">
        <v>2025</v>
      </c>
      <c r="C188" s="14" t="n">
        <v>5</v>
      </c>
      <c r="D188" s="14" t="s">
        <v>54</v>
      </c>
      <c r="E188" s="15" t="n">
        <v>366273.39</v>
      </c>
      <c r="F188" s="15" t="n">
        <v>191908.07</v>
      </c>
      <c r="G188" s="16" t="n">
        <f aca="false">ROUND(E188+F188,2)</f>
        <v>558181.46</v>
      </c>
    </row>
    <row r="189" customFormat="false" ht="15" hidden="false" customHeight="false" outlineLevel="0" collapsed="false">
      <c r="A189" s="14" t="s">
        <v>27</v>
      </c>
      <c r="B189" s="14" t="n">
        <v>2025</v>
      </c>
      <c r="C189" s="14" t="n">
        <v>6</v>
      </c>
      <c r="D189" s="14" t="s">
        <v>55</v>
      </c>
      <c r="E189" s="15" t="n">
        <v>387754.64</v>
      </c>
      <c r="F189" s="15" t="n">
        <v>211691.7</v>
      </c>
      <c r="G189" s="16" t="n">
        <f aca="false">ROUND(E189+F189,2)</f>
        <v>599446.34</v>
      </c>
    </row>
    <row r="190" customFormat="false" ht="15" hidden="false" customHeight="false" outlineLevel="0" collapsed="false">
      <c r="A190" s="14" t="s">
        <v>27</v>
      </c>
      <c r="B190" s="14" t="n">
        <v>2025</v>
      </c>
      <c r="C190" s="14" t="n">
        <v>7</v>
      </c>
      <c r="D190" s="14" t="s">
        <v>56</v>
      </c>
      <c r="E190" s="15" t="n">
        <v>399942.95</v>
      </c>
      <c r="F190" s="15" t="n">
        <v>198386.86</v>
      </c>
      <c r="G190" s="16" t="n">
        <f aca="false">ROUND(E190+F190,2)</f>
        <v>598329.81</v>
      </c>
    </row>
    <row r="191" customFormat="false" ht="15" hidden="false" customHeight="false" outlineLevel="0" collapsed="false">
      <c r="A191" s="14" t="s">
        <v>27</v>
      </c>
      <c r="B191" s="14" t="n">
        <v>2025</v>
      </c>
      <c r="C191" s="14" t="n">
        <v>8</v>
      </c>
      <c r="D191" s="14" t="s">
        <v>57</v>
      </c>
      <c r="E191" s="15" t="n">
        <v>343979.42</v>
      </c>
      <c r="F191" s="15" t="n">
        <v>164820.35</v>
      </c>
      <c r="G191" s="16" t="n">
        <f aca="false">ROUND(E191+F191,2)</f>
        <v>508799.77</v>
      </c>
    </row>
    <row r="192" customFormat="false" ht="15" hidden="false" customHeight="false" outlineLevel="0" collapsed="false">
      <c r="A192" s="14" t="s">
        <v>27</v>
      </c>
      <c r="B192" s="14" t="n">
        <v>2025</v>
      </c>
      <c r="C192" s="14" t="n">
        <v>9</v>
      </c>
      <c r="D192" s="14" t="s">
        <v>58</v>
      </c>
      <c r="E192" s="15" t="n">
        <v>273370.84</v>
      </c>
      <c r="F192" s="15" t="n">
        <v>192888.73</v>
      </c>
      <c r="G192" s="16" t="n">
        <f aca="false">ROUND(E192+F192,2)</f>
        <v>466259.57</v>
      </c>
    </row>
    <row r="193" customFormat="false" ht="15" hidden="false" customHeight="false" outlineLevel="0" collapsed="false">
      <c r="A193" s="14" t="s">
        <v>27</v>
      </c>
      <c r="B193" s="14" t="n">
        <v>2025</v>
      </c>
      <c r="C193" s="14" t="n">
        <v>10</v>
      </c>
      <c r="D193" s="14" t="s">
        <v>59</v>
      </c>
      <c r="E193" s="15" t="n">
        <v>379501.12</v>
      </c>
      <c r="F193" s="15" t="n">
        <v>221299.21</v>
      </c>
      <c r="G193" s="16" t="n">
        <f aca="false">ROUND(E193+F193,2)</f>
        <v>600800.33</v>
      </c>
    </row>
    <row r="194" customFormat="false" ht="15" hidden="false" customHeight="false" outlineLevel="0" collapsed="false">
      <c r="A194" s="14" t="s">
        <v>27</v>
      </c>
      <c r="B194" s="14" t="n">
        <v>2025</v>
      </c>
      <c r="C194" s="14" t="n">
        <v>11</v>
      </c>
      <c r="D194" s="14" t="s">
        <v>60</v>
      </c>
      <c r="E194" s="15" t="n">
        <v>320022.87</v>
      </c>
      <c r="F194" s="15" t="n">
        <v>168610.78</v>
      </c>
      <c r="G194" s="16" t="n">
        <f aca="false">ROUND(E194+F194,2)</f>
        <v>488633.65</v>
      </c>
    </row>
    <row r="195" customFormat="false" ht="15" hidden="false" customHeight="false" outlineLevel="0" collapsed="false">
      <c r="A195" s="14" t="s">
        <v>27</v>
      </c>
      <c r="B195" s="14" t="n">
        <v>2025</v>
      </c>
      <c r="C195" s="14" t="n">
        <v>12</v>
      </c>
      <c r="D195" s="14" t="s">
        <v>61</v>
      </c>
      <c r="E195" s="15" t="n">
        <v>300031.48</v>
      </c>
      <c r="F195" s="15" t="n">
        <v>132369.37</v>
      </c>
      <c r="G195" s="16" t="n">
        <f aca="false">ROUND(E195+F195,2)</f>
        <v>432400.85</v>
      </c>
    </row>
    <row r="196" customFormat="false" ht="15" hidden="false" customHeight="false" outlineLevel="0" collapsed="false">
      <c r="A196" s="14" t="s">
        <v>27</v>
      </c>
      <c r="B196" s="14" t="n">
        <v>2026</v>
      </c>
      <c r="C196" s="14" t="n">
        <v>1</v>
      </c>
      <c r="D196" s="14" t="s">
        <v>50</v>
      </c>
      <c r="E196" s="15" t="n">
        <v>352982.92</v>
      </c>
      <c r="F196" s="15" t="n">
        <v>152133.4</v>
      </c>
      <c r="G196" s="16" t="n">
        <f aca="false">ROUND(E196+F196,2)</f>
        <v>505116.32</v>
      </c>
    </row>
    <row r="197" customFormat="false" ht="15" hidden="false" customHeight="false" outlineLevel="0" collapsed="false">
      <c r="A197" s="14" t="s">
        <v>27</v>
      </c>
      <c r="B197" s="14" t="n">
        <v>2026</v>
      </c>
      <c r="C197" s="14" t="n">
        <v>2</v>
      </c>
      <c r="D197" s="14" t="s">
        <v>51</v>
      </c>
      <c r="E197" s="15" t="n">
        <v>257357.28</v>
      </c>
      <c r="F197" s="15" t="n">
        <v>168187.91</v>
      </c>
      <c r="G197" s="16" t="n">
        <f aca="false">ROUND(E197+F197,2)</f>
        <v>425545.19</v>
      </c>
    </row>
    <row r="198" customFormat="false" ht="15" hidden="false" customHeight="false" outlineLevel="0" collapsed="false">
      <c r="A198" s="14" t="s">
        <v>27</v>
      </c>
      <c r="B198" s="14" t="n">
        <v>2026</v>
      </c>
      <c r="C198" s="14" t="n">
        <v>3</v>
      </c>
      <c r="D198" s="14" t="s">
        <v>52</v>
      </c>
      <c r="E198" s="15" t="n">
        <v>359403.52</v>
      </c>
      <c r="F198" s="15" t="n">
        <v>163714.23</v>
      </c>
      <c r="G198" s="16" t="n">
        <f aca="false">ROUND(E198+F198,2)</f>
        <v>523117.75</v>
      </c>
    </row>
    <row r="199" customFormat="false" ht="15" hidden="false" customHeight="false" outlineLevel="0" collapsed="false">
      <c r="A199" s="14" t="s">
        <v>27</v>
      </c>
      <c r="B199" s="14" t="n">
        <v>2026</v>
      </c>
      <c r="C199" s="14" t="n">
        <v>4</v>
      </c>
      <c r="D199" s="14" t="s">
        <v>53</v>
      </c>
      <c r="E199" s="15" t="n">
        <v>338905.35</v>
      </c>
      <c r="F199" s="15" t="n">
        <v>133897.79</v>
      </c>
      <c r="G199" s="16" t="n">
        <f aca="false">ROUND(E199+F199,2)</f>
        <v>472803.14</v>
      </c>
    </row>
    <row r="200" customFormat="false" ht="15" hidden="false" customHeight="false" outlineLevel="0" collapsed="false">
      <c r="A200" s="14" t="s">
        <v>27</v>
      </c>
      <c r="B200" s="14" t="n">
        <v>2026</v>
      </c>
      <c r="C200" s="14" t="n">
        <v>5</v>
      </c>
      <c r="D200" s="14" t="s">
        <v>54</v>
      </c>
      <c r="E200" s="15" t="n">
        <v>339820.26</v>
      </c>
      <c r="F200" s="15" t="n">
        <v>149550.14</v>
      </c>
      <c r="G200" s="16" t="n">
        <f aca="false">ROUND(E200+F200,2)</f>
        <v>489370.4</v>
      </c>
    </row>
    <row r="201" customFormat="false" ht="15" hidden="false" customHeight="false" outlineLevel="0" collapsed="false">
      <c r="A201" s="14" t="s">
        <v>27</v>
      </c>
      <c r="B201" s="14" t="n">
        <v>2026</v>
      </c>
      <c r="C201" s="14" t="n">
        <v>6</v>
      </c>
      <c r="D201" s="14" t="s">
        <v>55</v>
      </c>
      <c r="E201" s="15" t="n">
        <v>386529.52</v>
      </c>
      <c r="F201" s="15" t="n">
        <v>177382.93</v>
      </c>
      <c r="G201" s="16" t="n">
        <f aca="false">ROUND(E201+F201,2)</f>
        <v>563912.45</v>
      </c>
    </row>
    <row r="202" customFormat="false" ht="15" hidden="false" customHeight="false" outlineLevel="0" collapsed="false">
      <c r="A202" s="14" t="s">
        <v>27</v>
      </c>
      <c r="B202" s="14" t="n">
        <v>2026</v>
      </c>
      <c r="C202" s="14" t="n">
        <v>7</v>
      </c>
      <c r="D202" s="14" t="s">
        <v>56</v>
      </c>
      <c r="E202" s="15" t="n">
        <v>334867.23</v>
      </c>
      <c r="F202" s="15" t="n">
        <v>156031.88</v>
      </c>
      <c r="G202" s="16" t="n">
        <f aca="false">ROUND(E202+F202,2)</f>
        <v>490899.11</v>
      </c>
    </row>
    <row r="203" customFormat="false" ht="15" hidden="false" customHeight="false" outlineLevel="0" collapsed="false">
      <c r="A203" s="14" t="s">
        <v>37</v>
      </c>
      <c r="B203" s="14" t="n">
        <v>2021</v>
      </c>
      <c r="C203" s="14" t="n">
        <v>1</v>
      </c>
      <c r="D203" s="14" t="s">
        <v>50</v>
      </c>
      <c r="E203" s="15" t="n">
        <v>68461.03</v>
      </c>
      <c r="F203" s="15" t="n">
        <v>54815.11</v>
      </c>
      <c r="G203" s="16" t="n">
        <f aca="false">ROUND(E203+F203,2)</f>
        <v>123276.14</v>
      </c>
    </row>
    <row r="204" customFormat="false" ht="15" hidden="false" customHeight="false" outlineLevel="0" collapsed="false">
      <c r="A204" s="14" t="s">
        <v>37</v>
      </c>
      <c r="B204" s="14" t="n">
        <v>2021</v>
      </c>
      <c r="C204" s="14" t="n">
        <v>2</v>
      </c>
      <c r="D204" s="14" t="s">
        <v>51</v>
      </c>
      <c r="E204" s="15" t="n">
        <v>79886.56</v>
      </c>
      <c r="F204" s="15" t="n">
        <v>71509.98</v>
      </c>
      <c r="G204" s="16" t="n">
        <f aca="false">ROUND(E204+F204,2)</f>
        <v>151396.54</v>
      </c>
    </row>
    <row r="205" customFormat="false" ht="15" hidden="false" customHeight="false" outlineLevel="0" collapsed="false">
      <c r="A205" s="14" t="s">
        <v>37</v>
      </c>
      <c r="B205" s="14" t="n">
        <v>2021</v>
      </c>
      <c r="C205" s="14" t="n">
        <v>3</v>
      </c>
      <c r="D205" s="14" t="s">
        <v>52</v>
      </c>
      <c r="E205" s="15" t="n">
        <v>78205.24</v>
      </c>
      <c r="F205" s="15" t="n">
        <v>56265.35</v>
      </c>
      <c r="G205" s="16" t="n">
        <f aca="false">ROUND(E205+F205,2)</f>
        <v>134470.59</v>
      </c>
    </row>
    <row r="206" customFormat="false" ht="15" hidden="false" customHeight="false" outlineLevel="0" collapsed="false">
      <c r="A206" s="14" t="s">
        <v>37</v>
      </c>
      <c r="B206" s="14" t="n">
        <v>2021</v>
      </c>
      <c r="C206" s="14" t="n">
        <v>4</v>
      </c>
      <c r="D206" s="14" t="s">
        <v>53</v>
      </c>
      <c r="E206" s="15" t="n">
        <v>107851.76</v>
      </c>
      <c r="F206" s="15" t="n">
        <v>78578.96</v>
      </c>
      <c r="G206" s="16" t="n">
        <f aca="false">ROUND(E206+F206,2)</f>
        <v>186430.72</v>
      </c>
    </row>
    <row r="207" customFormat="false" ht="15" hidden="false" customHeight="false" outlineLevel="0" collapsed="false">
      <c r="A207" s="14" t="s">
        <v>37</v>
      </c>
      <c r="B207" s="14" t="n">
        <v>2021</v>
      </c>
      <c r="C207" s="14" t="n">
        <v>5</v>
      </c>
      <c r="D207" s="14" t="s">
        <v>54</v>
      </c>
      <c r="E207" s="15" t="n">
        <v>77547.17</v>
      </c>
      <c r="F207" s="15" t="n">
        <v>63272.82</v>
      </c>
      <c r="G207" s="16" t="n">
        <f aca="false">ROUND(E207+F207,2)</f>
        <v>140819.99</v>
      </c>
    </row>
    <row r="208" customFormat="false" ht="15" hidden="false" customHeight="false" outlineLevel="0" collapsed="false">
      <c r="A208" s="14" t="s">
        <v>37</v>
      </c>
      <c r="B208" s="14" t="n">
        <v>2021</v>
      </c>
      <c r="C208" s="14" t="n">
        <v>6</v>
      </c>
      <c r="D208" s="14" t="s">
        <v>55</v>
      </c>
      <c r="E208" s="15" t="n">
        <v>100882.47</v>
      </c>
      <c r="F208" s="15" t="n">
        <v>72619.23</v>
      </c>
      <c r="G208" s="16" t="n">
        <f aca="false">ROUND(E208+F208,2)</f>
        <v>173501.7</v>
      </c>
    </row>
    <row r="209" customFormat="false" ht="15" hidden="false" customHeight="false" outlineLevel="0" collapsed="false">
      <c r="A209" s="14" t="s">
        <v>37</v>
      </c>
      <c r="B209" s="14" t="n">
        <v>2021</v>
      </c>
      <c r="C209" s="14" t="n">
        <v>7</v>
      </c>
      <c r="D209" s="14" t="s">
        <v>56</v>
      </c>
      <c r="E209" s="15" t="n">
        <v>91970.81</v>
      </c>
      <c r="F209" s="15" t="n">
        <v>65622.05</v>
      </c>
      <c r="G209" s="16" t="n">
        <f aca="false">ROUND(E209+F209,2)</f>
        <v>157592.86</v>
      </c>
    </row>
    <row r="210" customFormat="false" ht="15" hidden="false" customHeight="false" outlineLevel="0" collapsed="false">
      <c r="A210" s="14" t="s">
        <v>37</v>
      </c>
      <c r="B210" s="14" t="n">
        <v>2021</v>
      </c>
      <c r="C210" s="14" t="n">
        <v>8</v>
      </c>
      <c r="D210" s="14" t="s">
        <v>57</v>
      </c>
      <c r="E210" s="15" t="n">
        <v>86796.23</v>
      </c>
      <c r="F210" s="15" t="n">
        <v>70305.55</v>
      </c>
      <c r="G210" s="16" t="n">
        <f aca="false">ROUND(E210+F210,2)</f>
        <v>157101.78</v>
      </c>
    </row>
    <row r="211" customFormat="false" ht="15" hidden="false" customHeight="false" outlineLevel="0" collapsed="false">
      <c r="A211" s="14" t="s">
        <v>37</v>
      </c>
      <c r="B211" s="14" t="n">
        <v>2021</v>
      </c>
      <c r="C211" s="14" t="n">
        <v>9</v>
      </c>
      <c r="D211" s="14" t="s">
        <v>58</v>
      </c>
      <c r="E211" s="15" t="n">
        <v>79715.07</v>
      </c>
      <c r="F211" s="15" t="n">
        <v>77016.34</v>
      </c>
      <c r="G211" s="16" t="n">
        <f aca="false">ROUND(E211+F211,2)</f>
        <v>156731.41</v>
      </c>
    </row>
    <row r="212" customFormat="false" ht="15" hidden="false" customHeight="false" outlineLevel="0" collapsed="false">
      <c r="A212" s="14" t="s">
        <v>37</v>
      </c>
      <c r="B212" s="14" t="n">
        <v>2021</v>
      </c>
      <c r="C212" s="14" t="n">
        <v>10</v>
      </c>
      <c r="D212" s="14" t="s">
        <v>59</v>
      </c>
      <c r="E212" s="15" t="n">
        <v>86341.96</v>
      </c>
      <c r="F212" s="15" t="n">
        <v>72757.8</v>
      </c>
      <c r="G212" s="16" t="n">
        <f aca="false">ROUND(E212+F212,2)</f>
        <v>159099.76</v>
      </c>
    </row>
    <row r="213" customFormat="false" ht="15" hidden="false" customHeight="false" outlineLevel="0" collapsed="false">
      <c r="A213" s="14" t="s">
        <v>37</v>
      </c>
      <c r="B213" s="14" t="n">
        <v>2021</v>
      </c>
      <c r="C213" s="14" t="n">
        <v>11</v>
      </c>
      <c r="D213" s="14" t="s">
        <v>60</v>
      </c>
      <c r="E213" s="15" t="n">
        <v>81049.41</v>
      </c>
      <c r="F213" s="15" t="n">
        <v>63266.23</v>
      </c>
      <c r="G213" s="16" t="n">
        <f aca="false">ROUND(E213+F213,2)</f>
        <v>144315.64</v>
      </c>
    </row>
    <row r="214" customFormat="false" ht="15" hidden="false" customHeight="false" outlineLevel="0" collapsed="false">
      <c r="A214" s="14" t="s">
        <v>37</v>
      </c>
      <c r="B214" s="14" t="n">
        <v>2021</v>
      </c>
      <c r="C214" s="14" t="n">
        <v>12</v>
      </c>
      <c r="D214" s="14" t="s">
        <v>61</v>
      </c>
      <c r="E214" s="15" t="n">
        <v>101674.99</v>
      </c>
      <c r="F214" s="15" t="n">
        <v>77590.13</v>
      </c>
      <c r="G214" s="16" t="n">
        <f aca="false">ROUND(E214+F214,2)</f>
        <v>179265.12</v>
      </c>
    </row>
    <row r="215" customFormat="false" ht="15" hidden="false" customHeight="false" outlineLevel="0" collapsed="false">
      <c r="A215" s="14" t="s">
        <v>37</v>
      </c>
      <c r="B215" s="14" t="n">
        <v>2022</v>
      </c>
      <c r="C215" s="14" t="n">
        <v>1</v>
      </c>
      <c r="D215" s="14" t="s">
        <v>50</v>
      </c>
      <c r="E215" s="15" t="n">
        <v>99383.77</v>
      </c>
      <c r="F215" s="15" t="n">
        <v>67958.28</v>
      </c>
      <c r="G215" s="16" t="n">
        <f aca="false">ROUND(E215+F215,2)</f>
        <v>167342.05</v>
      </c>
    </row>
    <row r="216" customFormat="false" ht="15" hidden="false" customHeight="false" outlineLevel="0" collapsed="false">
      <c r="A216" s="14" t="s">
        <v>37</v>
      </c>
      <c r="B216" s="14" t="n">
        <v>2022</v>
      </c>
      <c r="C216" s="14" t="n">
        <v>2</v>
      </c>
      <c r="D216" s="14" t="s">
        <v>51</v>
      </c>
      <c r="E216" s="15" t="n">
        <v>100065.13</v>
      </c>
      <c r="F216" s="15" t="n">
        <v>72809.18</v>
      </c>
      <c r="G216" s="16" t="n">
        <f aca="false">ROUND(E216+F216,2)</f>
        <v>172874.31</v>
      </c>
    </row>
    <row r="217" customFormat="false" ht="15" hidden="false" customHeight="false" outlineLevel="0" collapsed="false">
      <c r="A217" s="14" t="s">
        <v>37</v>
      </c>
      <c r="B217" s="14" t="n">
        <v>2022</v>
      </c>
      <c r="C217" s="14" t="n">
        <v>3</v>
      </c>
      <c r="D217" s="14" t="s">
        <v>52</v>
      </c>
      <c r="E217" s="15" t="n">
        <v>120806.2</v>
      </c>
      <c r="F217" s="15" t="n">
        <v>90815.69</v>
      </c>
      <c r="G217" s="16" t="n">
        <f aca="false">ROUND(E217+F217,2)</f>
        <v>211621.89</v>
      </c>
    </row>
    <row r="218" customFormat="false" ht="15" hidden="false" customHeight="false" outlineLevel="0" collapsed="false">
      <c r="A218" s="14" t="s">
        <v>37</v>
      </c>
      <c r="B218" s="14" t="n">
        <v>2022</v>
      </c>
      <c r="C218" s="14" t="n">
        <v>4</v>
      </c>
      <c r="D218" s="14" t="s">
        <v>53</v>
      </c>
      <c r="E218" s="15" t="n">
        <v>108651.39</v>
      </c>
      <c r="F218" s="15" t="n">
        <v>71070.99</v>
      </c>
      <c r="G218" s="16" t="n">
        <f aca="false">ROUND(E218+F218,2)</f>
        <v>179722.38</v>
      </c>
    </row>
    <row r="219" customFormat="false" ht="15" hidden="false" customHeight="false" outlineLevel="0" collapsed="false">
      <c r="A219" s="14" t="s">
        <v>37</v>
      </c>
      <c r="B219" s="14" t="n">
        <v>2022</v>
      </c>
      <c r="C219" s="14" t="n">
        <v>5</v>
      </c>
      <c r="D219" s="14" t="s">
        <v>54</v>
      </c>
      <c r="E219" s="15" t="n">
        <v>103126.61</v>
      </c>
      <c r="F219" s="15" t="n">
        <v>80159.64</v>
      </c>
      <c r="G219" s="16" t="n">
        <f aca="false">ROUND(E219+F219,2)</f>
        <v>183286.25</v>
      </c>
    </row>
    <row r="220" customFormat="false" ht="15" hidden="false" customHeight="false" outlineLevel="0" collapsed="false">
      <c r="A220" s="14" t="s">
        <v>37</v>
      </c>
      <c r="B220" s="14" t="n">
        <v>2022</v>
      </c>
      <c r="C220" s="14" t="n">
        <v>6</v>
      </c>
      <c r="D220" s="14" t="s">
        <v>55</v>
      </c>
      <c r="E220" s="15" t="n">
        <v>105857.01</v>
      </c>
      <c r="F220" s="15" t="n">
        <v>74466.3</v>
      </c>
      <c r="G220" s="16" t="n">
        <f aca="false">ROUND(E220+F220,2)</f>
        <v>180323.31</v>
      </c>
    </row>
    <row r="221" customFormat="false" ht="15" hidden="false" customHeight="false" outlineLevel="0" collapsed="false">
      <c r="A221" s="14" t="s">
        <v>37</v>
      </c>
      <c r="B221" s="14" t="n">
        <v>2022</v>
      </c>
      <c r="C221" s="14" t="n">
        <v>7</v>
      </c>
      <c r="D221" s="14" t="s">
        <v>56</v>
      </c>
      <c r="E221" s="15" t="n">
        <v>95328.92</v>
      </c>
      <c r="F221" s="15" t="n">
        <v>65522.79</v>
      </c>
      <c r="G221" s="16" t="n">
        <f aca="false">ROUND(E221+F221,2)</f>
        <v>160851.71</v>
      </c>
    </row>
    <row r="222" customFormat="false" ht="15" hidden="false" customHeight="false" outlineLevel="0" collapsed="false">
      <c r="A222" s="14" t="s">
        <v>37</v>
      </c>
      <c r="B222" s="14" t="n">
        <v>2022</v>
      </c>
      <c r="C222" s="14" t="n">
        <v>8</v>
      </c>
      <c r="D222" s="14" t="s">
        <v>57</v>
      </c>
      <c r="E222" s="15" t="n">
        <v>102962.68</v>
      </c>
      <c r="F222" s="15" t="n">
        <v>71613.11</v>
      </c>
      <c r="G222" s="16" t="n">
        <f aca="false">ROUND(E222+F222,2)</f>
        <v>174575.79</v>
      </c>
    </row>
    <row r="223" customFormat="false" ht="15" hidden="false" customHeight="false" outlineLevel="0" collapsed="false">
      <c r="A223" s="14" t="s">
        <v>37</v>
      </c>
      <c r="B223" s="14" t="n">
        <v>2022</v>
      </c>
      <c r="C223" s="14" t="n">
        <v>9</v>
      </c>
      <c r="D223" s="14" t="s">
        <v>58</v>
      </c>
      <c r="E223" s="15" t="n">
        <v>87279.46</v>
      </c>
      <c r="F223" s="15" t="n">
        <v>54887.43</v>
      </c>
      <c r="G223" s="16" t="n">
        <f aca="false">ROUND(E223+F223,2)</f>
        <v>142166.89</v>
      </c>
    </row>
    <row r="224" customFormat="false" ht="15" hidden="false" customHeight="false" outlineLevel="0" collapsed="false">
      <c r="A224" s="14" t="s">
        <v>37</v>
      </c>
      <c r="B224" s="14" t="n">
        <v>2022</v>
      </c>
      <c r="C224" s="14" t="n">
        <v>10</v>
      </c>
      <c r="D224" s="14" t="s">
        <v>59</v>
      </c>
      <c r="E224" s="15" t="n">
        <v>131216.49</v>
      </c>
      <c r="F224" s="15" t="n">
        <v>81763.04</v>
      </c>
      <c r="G224" s="16" t="n">
        <f aca="false">ROUND(E224+F224,2)</f>
        <v>212979.53</v>
      </c>
    </row>
    <row r="225" customFormat="false" ht="15" hidden="false" customHeight="false" outlineLevel="0" collapsed="false">
      <c r="A225" s="14" t="s">
        <v>37</v>
      </c>
      <c r="B225" s="14" t="n">
        <v>2022</v>
      </c>
      <c r="C225" s="14" t="n">
        <v>11</v>
      </c>
      <c r="D225" s="14" t="s">
        <v>60</v>
      </c>
      <c r="E225" s="15" t="n">
        <v>105944.54</v>
      </c>
      <c r="F225" s="15" t="n">
        <v>66609.21</v>
      </c>
      <c r="G225" s="16" t="n">
        <f aca="false">ROUND(E225+F225,2)</f>
        <v>172553.75</v>
      </c>
    </row>
    <row r="226" customFormat="false" ht="15" hidden="false" customHeight="false" outlineLevel="0" collapsed="false">
      <c r="A226" s="14" t="s">
        <v>37</v>
      </c>
      <c r="B226" s="14" t="n">
        <v>2022</v>
      </c>
      <c r="C226" s="14" t="n">
        <v>12</v>
      </c>
      <c r="D226" s="14" t="s">
        <v>61</v>
      </c>
      <c r="E226" s="15" t="n">
        <v>107734.59</v>
      </c>
      <c r="F226" s="15" t="n">
        <v>62159.78</v>
      </c>
      <c r="G226" s="16" t="n">
        <f aca="false">ROUND(E226+F226,2)</f>
        <v>169894.37</v>
      </c>
    </row>
    <row r="227" customFormat="false" ht="15" hidden="false" customHeight="false" outlineLevel="0" collapsed="false">
      <c r="A227" s="14" t="s">
        <v>37</v>
      </c>
      <c r="B227" s="14" t="n">
        <v>2023</v>
      </c>
      <c r="C227" s="14" t="n">
        <v>1</v>
      </c>
      <c r="D227" s="14" t="s">
        <v>50</v>
      </c>
      <c r="E227" s="15" t="n">
        <v>108089.35</v>
      </c>
      <c r="F227" s="15" t="n">
        <v>78099</v>
      </c>
      <c r="G227" s="16" t="n">
        <f aca="false">ROUND(E227+F227,2)</f>
        <v>186188.35</v>
      </c>
    </row>
    <row r="228" customFormat="false" ht="15" hidden="false" customHeight="false" outlineLevel="0" collapsed="false">
      <c r="A228" s="14" t="s">
        <v>37</v>
      </c>
      <c r="B228" s="14" t="n">
        <v>2023</v>
      </c>
      <c r="C228" s="14" t="n">
        <v>2</v>
      </c>
      <c r="D228" s="14" t="s">
        <v>51</v>
      </c>
      <c r="E228" s="15" t="n">
        <v>116822.41</v>
      </c>
      <c r="F228" s="15" t="n">
        <v>82249.76</v>
      </c>
      <c r="G228" s="16" t="n">
        <f aca="false">ROUND(E228+F228,2)</f>
        <v>199072.17</v>
      </c>
    </row>
    <row r="229" customFormat="false" ht="15" hidden="false" customHeight="false" outlineLevel="0" collapsed="false">
      <c r="A229" s="14" t="s">
        <v>37</v>
      </c>
      <c r="B229" s="14" t="n">
        <v>2023</v>
      </c>
      <c r="C229" s="14" t="n">
        <v>3</v>
      </c>
      <c r="D229" s="14" t="s">
        <v>52</v>
      </c>
      <c r="E229" s="15" t="n">
        <v>134161.2</v>
      </c>
      <c r="F229" s="15" t="n">
        <v>80133.5</v>
      </c>
      <c r="G229" s="16" t="n">
        <f aca="false">ROUND(E229+F229,2)</f>
        <v>214294.7</v>
      </c>
    </row>
    <row r="230" customFormat="false" ht="15" hidden="false" customHeight="false" outlineLevel="0" collapsed="false">
      <c r="A230" s="14" t="s">
        <v>37</v>
      </c>
      <c r="B230" s="14" t="n">
        <v>2023</v>
      </c>
      <c r="C230" s="14" t="n">
        <v>4</v>
      </c>
      <c r="D230" s="14" t="s">
        <v>53</v>
      </c>
      <c r="E230" s="15" t="n">
        <v>139462.59</v>
      </c>
      <c r="F230" s="15" t="n">
        <v>70492.58</v>
      </c>
      <c r="G230" s="16" t="n">
        <f aca="false">ROUND(E230+F230,2)</f>
        <v>209955.17</v>
      </c>
    </row>
    <row r="231" customFormat="false" ht="15" hidden="false" customHeight="false" outlineLevel="0" collapsed="false">
      <c r="A231" s="14" t="s">
        <v>37</v>
      </c>
      <c r="B231" s="14" t="n">
        <v>2023</v>
      </c>
      <c r="C231" s="14" t="n">
        <v>5</v>
      </c>
      <c r="D231" s="14" t="s">
        <v>54</v>
      </c>
      <c r="E231" s="15" t="n">
        <v>136127.71</v>
      </c>
      <c r="F231" s="15" t="n">
        <v>88640.14</v>
      </c>
      <c r="G231" s="16" t="n">
        <f aca="false">ROUND(E231+F231,2)</f>
        <v>224767.85</v>
      </c>
    </row>
    <row r="232" customFormat="false" ht="15" hidden="false" customHeight="false" outlineLevel="0" collapsed="false">
      <c r="A232" s="14" t="s">
        <v>37</v>
      </c>
      <c r="B232" s="14" t="n">
        <v>2023</v>
      </c>
      <c r="C232" s="14" t="n">
        <v>6</v>
      </c>
      <c r="D232" s="14" t="s">
        <v>55</v>
      </c>
      <c r="E232" s="15" t="n">
        <v>141850.25</v>
      </c>
      <c r="F232" s="15" t="n">
        <v>91777.4</v>
      </c>
      <c r="G232" s="16" t="n">
        <f aca="false">ROUND(E232+F232,2)</f>
        <v>233627.65</v>
      </c>
    </row>
    <row r="233" customFormat="false" ht="15" hidden="false" customHeight="false" outlineLevel="0" collapsed="false">
      <c r="A233" s="14" t="s">
        <v>37</v>
      </c>
      <c r="B233" s="14" t="n">
        <v>2023</v>
      </c>
      <c r="C233" s="14" t="n">
        <v>7</v>
      </c>
      <c r="D233" s="14" t="s">
        <v>56</v>
      </c>
      <c r="E233" s="15" t="n">
        <v>113233.95</v>
      </c>
      <c r="F233" s="15" t="n">
        <v>84719.82</v>
      </c>
      <c r="G233" s="16" t="n">
        <f aca="false">ROUND(E233+F233,2)</f>
        <v>197953.77</v>
      </c>
    </row>
    <row r="234" customFormat="false" ht="15" hidden="false" customHeight="false" outlineLevel="0" collapsed="false">
      <c r="A234" s="14" t="s">
        <v>37</v>
      </c>
      <c r="B234" s="14" t="n">
        <v>2023</v>
      </c>
      <c r="C234" s="14" t="n">
        <v>8</v>
      </c>
      <c r="D234" s="14" t="s">
        <v>57</v>
      </c>
      <c r="E234" s="15" t="n">
        <v>146565.98</v>
      </c>
      <c r="F234" s="15" t="n">
        <v>112980.3</v>
      </c>
      <c r="G234" s="16" t="n">
        <f aca="false">ROUND(E234+F234,2)</f>
        <v>259546.28</v>
      </c>
    </row>
    <row r="235" customFormat="false" ht="15" hidden="false" customHeight="false" outlineLevel="0" collapsed="false">
      <c r="A235" s="14" t="s">
        <v>37</v>
      </c>
      <c r="B235" s="14" t="n">
        <v>2023</v>
      </c>
      <c r="C235" s="14" t="n">
        <v>9</v>
      </c>
      <c r="D235" s="14" t="s">
        <v>58</v>
      </c>
      <c r="E235" s="15" t="n">
        <v>106480.32</v>
      </c>
      <c r="F235" s="15" t="n">
        <v>79782.8</v>
      </c>
      <c r="G235" s="16" t="n">
        <f aca="false">ROUND(E235+F235,2)</f>
        <v>186263.12</v>
      </c>
    </row>
    <row r="236" customFormat="false" ht="15" hidden="false" customHeight="false" outlineLevel="0" collapsed="false">
      <c r="A236" s="14" t="s">
        <v>37</v>
      </c>
      <c r="B236" s="14" t="n">
        <v>2023</v>
      </c>
      <c r="C236" s="14" t="n">
        <v>10</v>
      </c>
      <c r="D236" s="14" t="s">
        <v>59</v>
      </c>
      <c r="E236" s="15" t="n">
        <v>138719</v>
      </c>
      <c r="F236" s="15" t="n">
        <v>86960.48</v>
      </c>
      <c r="G236" s="16" t="n">
        <f aca="false">ROUND(E236+F236,2)</f>
        <v>225679.48</v>
      </c>
    </row>
    <row r="237" customFormat="false" ht="15" hidden="false" customHeight="false" outlineLevel="0" collapsed="false">
      <c r="A237" s="14" t="s">
        <v>37</v>
      </c>
      <c r="B237" s="14" t="n">
        <v>2023</v>
      </c>
      <c r="C237" s="14" t="n">
        <v>11</v>
      </c>
      <c r="D237" s="14" t="s">
        <v>60</v>
      </c>
      <c r="E237" s="15" t="n">
        <v>112147.66</v>
      </c>
      <c r="F237" s="15" t="n">
        <v>79407.52</v>
      </c>
      <c r="G237" s="16" t="n">
        <f aca="false">ROUND(E237+F237,2)</f>
        <v>191555.18</v>
      </c>
    </row>
    <row r="238" customFormat="false" ht="15" hidden="false" customHeight="false" outlineLevel="0" collapsed="false">
      <c r="A238" s="14" t="s">
        <v>37</v>
      </c>
      <c r="B238" s="14" t="n">
        <v>2023</v>
      </c>
      <c r="C238" s="14" t="n">
        <v>12</v>
      </c>
      <c r="D238" s="14" t="s">
        <v>61</v>
      </c>
      <c r="E238" s="15" t="n">
        <v>109757.23</v>
      </c>
      <c r="F238" s="15" t="n">
        <v>79319.99</v>
      </c>
      <c r="G238" s="16" t="n">
        <f aca="false">ROUND(E238+F238,2)</f>
        <v>189077.22</v>
      </c>
    </row>
    <row r="239" customFormat="false" ht="15" hidden="false" customHeight="false" outlineLevel="0" collapsed="false">
      <c r="A239" s="14" t="s">
        <v>37</v>
      </c>
      <c r="B239" s="14" t="n">
        <v>2024</v>
      </c>
      <c r="C239" s="14" t="n">
        <v>1</v>
      </c>
      <c r="D239" s="14" t="s">
        <v>50</v>
      </c>
      <c r="E239" s="15" t="n">
        <v>131237.25</v>
      </c>
      <c r="F239" s="15" t="n">
        <v>100482.73</v>
      </c>
      <c r="G239" s="16" t="n">
        <f aca="false">ROUND(E239+F239,2)</f>
        <v>231719.98</v>
      </c>
    </row>
    <row r="240" customFormat="false" ht="15" hidden="false" customHeight="false" outlineLevel="0" collapsed="false">
      <c r="A240" s="14" t="s">
        <v>37</v>
      </c>
      <c r="B240" s="14" t="n">
        <v>2024</v>
      </c>
      <c r="C240" s="14" t="n">
        <v>2</v>
      </c>
      <c r="D240" s="14" t="s">
        <v>51</v>
      </c>
      <c r="E240" s="15" t="n">
        <v>112949.49</v>
      </c>
      <c r="F240" s="15" t="n">
        <v>84538.22</v>
      </c>
      <c r="G240" s="16" t="n">
        <f aca="false">ROUND(E240+F240,2)</f>
        <v>197487.71</v>
      </c>
    </row>
    <row r="241" customFormat="false" ht="15" hidden="false" customHeight="false" outlineLevel="0" collapsed="false">
      <c r="A241" s="14" t="s">
        <v>37</v>
      </c>
      <c r="B241" s="14" t="n">
        <v>2024</v>
      </c>
      <c r="C241" s="14" t="n">
        <v>3</v>
      </c>
      <c r="D241" s="14" t="s">
        <v>52</v>
      </c>
      <c r="E241" s="15" t="n">
        <v>111932.56</v>
      </c>
      <c r="F241" s="15" t="n">
        <v>75895.74</v>
      </c>
      <c r="G241" s="16" t="n">
        <f aca="false">ROUND(E241+F241,2)</f>
        <v>187828.3</v>
      </c>
    </row>
    <row r="242" customFormat="false" ht="15" hidden="false" customHeight="false" outlineLevel="0" collapsed="false">
      <c r="A242" s="14" t="s">
        <v>37</v>
      </c>
      <c r="B242" s="14" t="n">
        <v>2024</v>
      </c>
      <c r="C242" s="14" t="n">
        <v>4</v>
      </c>
      <c r="D242" s="14" t="s">
        <v>53</v>
      </c>
      <c r="E242" s="15" t="n">
        <v>120826.66</v>
      </c>
      <c r="F242" s="15" t="n">
        <v>91795.38</v>
      </c>
      <c r="G242" s="16" t="n">
        <f aca="false">ROUND(E242+F242,2)</f>
        <v>212622.04</v>
      </c>
    </row>
    <row r="243" customFormat="false" ht="15" hidden="false" customHeight="false" outlineLevel="0" collapsed="false">
      <c r="A243" s="14" t="s">
        <v>37</v>
      </c>
      <c r="B243" s="14" t="n">
        <v>2024</v>
      </c>
      <c r="C243" s="14" t="n">
        <v>5</v>
      </c>
      <c r="D243" s="14" t="s">
        <v>54</v>
      </c>
      <c r="E243" s="15" t="n">
        <v>159679.92</v>
      </c>
      <c r="F243" s="15" t="n">
        <v>115276</v>
      </c>
      <c r="G243" s="16" t="n">
        <f aca="false">ROUND(E243+F243,2)</f>
        <v>274955.92</v>
      </c>
    </row>
    <row r="244" customFormat="false" ht="15" hidden="false" customHeight="false" outlineLevel="0" collapsed="false">
      <c r="A244" s="14" t="s">
        <v>37</v>
      </c>
      <c r="B244" s="14" t="n">
        <v>2024</v>
      </c>
      <c r="C244" s="14" t="n">
        <v>6</v>
      </c>
      <c r="D244" s="14" t="s">
        <v>55</v>
      </c>
      <c r="E244" s="15" t="n">
        <v>78817.74</v>
      </c>
      <c r="F244" s="15" t="n">
        <v>41202.94</v>
      </c>
      <c r="G244" s="16" t="n">
        <f aca="false">ROUND(E244+F244,2)</f>
        <v>120020.68</v>
      </c>
    </row>
    <row r="245" customFormat="false" ht="15" hidden="false" customHeight="false" outlineLevel="0" collapsed="false">
      <c r="A245" s="14" t="s">
        <v>37</v>
      </c>
      <c r="B245" s="14" t="n">
        <v>2024</v>
      </c>
      <c r="C245" s="14" t="n">
        <v>7</v>
      </c>
      <c r="D245" s="14" t="s">
        <v>56</v>
      </c>
      <c r="E245" s="15" t="n">
        <v>111139.2</v>
      </c>
      <c r="F245" s="15" t="n">
        <v>86654.41</v>
      </c>
      <c r="G245" s="16" t="n">
        <f aca="false">ROUND(E245+F245,2)</f>
        <v>197793.61</v>
      </c>
    </row>
    <row r="246" customFormat="false" ht="15" hidden="false" customHeight="false" outlineLevel="0" collapsed="false">
      <c r="A246" s="14" t="s">
        <v>37</v>
      </c>
      <c r="B246" s="14" t="n">
        <v>2024</v>
      </c>
      <c r="C246" s="14" t="n">
        <v>8</v>
      </c>
      <c r="D246" s="14" t="s">
        <v>57</v>
      </c>
      <c r="E246" s="15" t="n">
        <v>138122.55</v>
      </c>
      <c r="F246" s="15" t="n">
        <v>81690.61</v>
      </c>
      <c r="G246" s="16" t="n">
        <f aca="false">ROUND(E246+F246,2)</f>
        <v>219813.16</v>
      </c>
    </row>
    <row r="247" customFormat="false" ht="15" hidden="false" customHeight="false" outlineLevel="0" collapsed="false">
      <c r="A247" s="14" t="s">
        <v>37</v>
      </c>
      <c r="B247" s="14" t="n">
        <v>2024</v>
      </c>
      <c r="C247" s="14" t="n">
        <v>9</v>
      </c>
      <c r="D247" s="14" t="s">
        <v>58</v>
      </c>
      <c r="E247" s="15" t="n">
        <v>154961.75</v>
      </c>
      <c r="F247" s="15" t="n">
        <v>100668.85</v>
      </c>
      <c r="G247" s="16" t="n">
        <f aca="false">ROUND(E247+F247,2)</f>
        <v>255630.6</v>
      </c>
    </row>
    <row r="248" customFormat="false" ht="15" hidden="false" customHeight="false" outlineLevel="0" collapsed="false">
      <c r="A248" s="14" t="s">
        <v>37</v>
      </c>
      <c r="B248" s="14" t="n">
        <v>2024</v>
      </c>
      <c r="C248" s="14" t="n">
        <v>10</v>
      </c>
      <c r="D248" s="14" t="s">
        <v>59</v>
      </c>
      <c r="E248" s="15" t="n">
        <v>181056.53</v>
      </c>
      <c r="F248" s="15" t="n">
        <v>123279.51</v>
      </c>
      <c r="G248" s="16" t="n">
        <f aca="false">ROUND(E248+F248,2)</f>
        <v>304336.04</v>
      </c>
    </row>
    <row r="249" customFormat="false" ht="15" hidden="false" customHeight="false" outlineLevel="0" collapsed="false">
      <c r="A249" s="14" t="s">
        <v>37</v>
      </c>
      <c r="B249" s="14" t="n">
        <v>2024</v>
      </c>
      <c r="C249" s="14" t="n">
        <v>11</v>
      </c>
      <c r="D249" s="14" t="s">
        <v>60</v>
      </c>
      <c r="E249" s="15" t="n">
        <v>122721.54</v>
      </c>
      <c r="F249" s="15" t="n">
        <v>99486</v>
      </c>
      <c r="G249" s="16" t="n">
        <f aca="false">ROUND(E249+F249,2)</f>
        <v>222207.54</v>
      </c>
    </row>
    <row r="250" customFormat="false" ht="15" hidden="false" customHeight="false" outlineLevel="0" collapsed="false">
      <c r="A250" s="14" t="s">
        <v>37</v>
      </c>
      <c r="B250" s="14" t="n">
        <v>2024</v>
      </c>
      <c r="C250" s="14" t="n">
        <v>12</v>
      </c>
      <c r="D250" s="14" t="s">
        <v>61</v>
      </c>
      <c r="E250" s="15" t="n">
        <v>154917.58</v>
      </c>
      <c r="F250" s="15" t="n">
        <v>107414</v>
      </c>
      <c r="G250" s="16" t="n">
        <f aca="false">ROUND(E250+F250,2)</f>
        <v>262331.58</v>
      </c>
    </row>
    <row r="251" customFormat="false" ht="15" hidden="false" customHeight="false" outlineLevel="0" collapsed="false">
      <c r="A251" s="14" t="s">
        <v>37</v>
      </c>
      <c r="B251" s="14" t="n">
        <v>2025</v>
      </c>
      <c r="C251" s="14" t="n">
        <v>1</v>
      </c>
      <c r="D251" s="14" t="s">
        <v>50</v>
      </c>
      <c r="E251" s="15" t="n">
        <v>159500.21</v>
      </c>
      <c r="F251" s="15" t="n">
        <v>105679.38</v>
      </c>
      <c r="G251" s="16" t="n">
        <f aca="false">ROUND(E251+F251,2)</f>
        <v>265179.59</v>
      </c>
    </row>
    <row r="252" customFormat="false" ht="15" hidden="false" customHeight="false" outlineLevel="0" collapsed="false">
      <c r="A252" s="14" t="s">
        <v>37</v>
      </c>
      <c r="B252" s="14" t="n">
        <v>2025</v>
      </c>
      <c r="C252" s="14" t="n">
        <v>2</v>
      </c>
      <c r="D252" s="14" t="s">
        <v>51</v>
      </c>
      <c r="E252" s="15" t="n">
        <v>160417.25</v>
      </c>
      <c r="F252" s="15" t="n">
        <v>102851.51</v>
      </c>
      <c r="G252" s="16" t="n">
        <f aca="false">ROUND(E252+F252,2)</f>
        <v>263268.76</v>
      </c>
    </row>
    <row r="253" customFormat="false" ht="15" hidden="false" customHeight="false" outlineLevel="0" collapsed="false">
      <c r="A253" s="14" t="s">
        <v>37</v>
      </c>
      <c r="B253" s="14" t="n">
        <v>2025</v>
      </c>
      <c r="C253" s="14" t="n">
        <v>3</v>
      </c>
      <c r="D253" s="14" t="s">
        <v>52</v>
      </c>
      <c r="E253" s="15" t="n">
        <v>158053.56</v>
      </c>
      <c r="F253" s="15" t="n">
        <v>104744.98</v>
      </c>
      <c r="G253" s="16" t="n">
        <f aca="false">ROUND(E253+F253,2)</f>
        <v>262798.54</v>
      </c>
    </row>
    <row r="254" customFormat="false" ht="15" hidden="false" customHeight="false" outlineLevel="0" collapsed="false">
      <c r="A254" s="14" t="s">
        <v>37</v>
      </c>
      <c r="B254" s="14" t="n">
        <v>2025</v>
      </c>
      <c r="C254" s="14" t="n">
        <v>4</v>
      </c>
      <c r="D254" s="14" t="s">
        <v>53</v>
      </c>
      <c r="E254" s="15" t="n">
        <v>170757.66</v>
      </c>
      <c r="F254" s="15" t="n">
        <v>105578.74</v>
      </c>
      <c r="G254" s="16" t="n">
        <f aca="false">ROUND(E254+F254,2)</f>
        <v>276336.4</v>
      </c>
    </row>
    <row r="255" customFormat="false" ht="15" hidden="false" customHeight="false" outlineLevel="0" collapsed="false">
      <c r="A255" s="14" t="s">
        <v>37</v>
      </c>
      <c r="B255" s="14" t="n">
        <v>2025</v>
      </c>
      <c r="C255" s="14" t="n">
        <v>5</v>
      </c>
      <c r="D255" s="14" t="s">
        <v>54</v>
      </c>
      <c r="E255" s="15" t="n">
        <v>143730.5</v>
      </c>
      <c r="F255" s="15" t="n">
        <v>100630.41</v>
      </c>
      <c r="G255" s="16" t="n">
        <f aca="false">ROUND(E255+F255,2)</f>
        <v>244360.91</v>
      </c>
    </row>
    <row r="256" customFormat="false" ht="15" hidden="false" customHeight="false" outlineLevel="0" collapsed="false">
      <c r="A256" s="14" t="s">
        <v>37</v>
      </c>
      <c r="B256" s="14" t="n">
        <v>2025</v>
      </c>
      <c r="C256" s="14" t="n">
        <v>6</v>
      </c>
      <c r="D256" s="14" t="s">
        <v>55</v>
      </c>
      <c r="E256" s="15" t="n">
        <v>164366.92</v>
      </c>
      <c r="F256" s="15" t="n">
        <v>100219.16</v>
      </c>
      <c r="G256" s="16" t="n">
        <f aca="false">ROUND(E256+F256,2)</f>
        <v>264586.08</v>
      </c>
    </row>
    <row r="257" customFormat="false" ht="15" hidden="false" customHeight="false" outlineLevel="0" collapsed="false">
      <c r="A257" s="14" t="s">
        <v>37</v>
      </c>
      <c r="B257" s="14" t="n">
        <v>2025</v>
      </c>
      <c r="C257" s="14" t="n">
        <v>7</v>
      </c>
      <c r="D257" s="14" t="s">
        <v>56</v>
      </c>
      <c r="E257" s="15" t="n">
        <v>158797.45</v>
      </c>
      <c r="F257" s="15" t="n">
        <v>94972.94</v>
      </c>
      <c r="G257" s="16" t="n">
        <f aca="false">ROUND(E257+F257,2)</f>
        <v>253770.39</v>
      </c>
    </row>
    <row r="258" customFormat="false" ht="15" hidden="false" customHeight="false" outlineLevel="0" collapsed="false">
      <c r="A258" s="14" t="s">
        <v>37</v>
      </c>
      <c r="B258" s="14" t="n">
        <v>2025</v>
      </c>
      <c r="C258" s="14" t="n">
        <v>8</v>
      </c>
      <c r="D258" s="14" t="s">
        <v>57</v>
      </c>
      <c r="E258" s="15" t="n">
        <v>172075.17</v>
      </c>
      <c r="F258" s="15" t="n">
        <v>116597.05</v>
      </c>
      <c r="G258" s="16" t="n">
        <f aca="false">ROUND(E258+F258,2)</f>
        <v>288672.22</v>
      </c>
    </row>
    <row r="259" customFormat="false" ht="15" hidden="false" customHeight="false" outlineLevel="0" collapsed="false">
      <c r="A259" s="14" t="s">
        <v>37</v>
      </c>
      <c r="B259" s="14" t="n">
        <v>2025</v>
      </c>
      <c r="C259" s="14" t="n">
        <v>9</v>
      </c>
      <c r="D259" s="14" t="s">
        <v>58</v>
      </c>
      <c r="E259" s="15" t="n">
        <v>157974.19</v>
      </c>
      <c r="F259" s="15" t="n">
        <v>101160.83</v>
      </c>
      <c r="G259" s="16" t="n">
        <f aca="false">ROUND(E259+F259,2)</f>
        <v>259135.02</v>
      </c>
    </row>
    <row r="260" customFormat="false" ht="15" hidden="false" customHeight="false" outlineLevel="0" collapsed="false">
      <c r="A260" s="14" t="s">
        <v>37</v>
      </c>
      <c r="B260" s="14" t="n">
        <v>2025</v>
      </c>
      <c r="C260" s="14" t="n">
        <v>10</v>
      </c>
      <c r="D260" s="14" t="s">
        <v>59</v>
      </c>
      <c r="E260" s="15" t="n">
        <v>165029.09</v>
      </c>
      <c r="F260" s="15" t="n">
        <v>119857.41</v>
      </c>
      <c r="G260" s="16" t="n">
        <f aca="false">ROUND(E260+F260,2)</f>
        <v>284886.5</v>
      </c>
    </row>
    <row r="261" customFormat="false" ht="15" hidden="false" customHeight="false" outlineLevel="0" collapsed="false">
      <c r="A261" s="14" t="s">
        <v>37</v>
      </c>
      <c r="B261" s="14" t="n">
        <v>2025</v>
      </c>
      <c r="C261" s="14" t="n">
        <v>11</v>
      </c>
      <c r="D261" s="14" t="s">
        <v>60</v>
      </c>
      <c r="E261" s="15" t="n">
        <v>131848.74</v>
      </c>
      <c r="F261" s="15" t="n">
        <v>92596.8</v>
      </c>
      <c r="G261" s="16" t="n">
        <f aca="false">ROUND(E261+F261,2)</f>
        <v>224445.54</v>
      </c>
    </row>
    <row r="262" customFormat="false" ht="15" hidden="false" customHeight="false" outlineLevel="0" collapsed="false">
      <c r="A262" s="14" t="s">
        <v>37</v>
      </c>
      <c r="B262" s="14" t="n">
        <v>2025</v>
      </c>
      <c r="C262" s="14" t="n">
        <v>12</v>
      </c>
      <c r="D262" s="14" t="s">
        <v>61</v>
      </c>
      <c r="E262" s="15" t="n">
        <v>134547.81</v>
      </c>
      <c r="F262" s="15" t="n">
        <v>106887.24</v>
      </c>
      <c r="G262" s="16" t="n">
        <f aca="false">ROUND(E262+F262,2)</f>
        <v>241435.05</v>
      </c>
    </row>
    <row r="263" customFormat="false" ht="15" hidden="false" customHeight="false" outlineLevel="0" collapsed="false">
      <c r="A263" s="14" t="s">
        <v>37</v>
      </c>
      <c r="B263" s="14" t="n">
        <v>2026</v>
      </c>
      <c r="C263" s="14" t="n">
        <v>1</v>
      </c>
      <c r="D263" s="14" t="s">
        <v>50</v>
      </c>
      <c r="E263" s="15" t="n">
        <v>143499.65</v>
      </c>
      <c r="F263" s="15" t="n">
        <v>121412.31</v>
      </c>
      <c r="G263" s="16" t="n">
        <f aca="false">ROUND(E263+F263,2)</f>
        <v>264911.96</v>
      </c>
    </row>
    <row r="264" customFormat="false" ht="15" hidden="false" customHeight="false" outlineLevel="0" collapsed="false">
      <c r="A264" s="14" t="s">
        <v>37</v>
      </c>
      <c r="B264" s="14" t="n">
        <v>2026</v>
      </c>
      <c r="C264" s="14" t="n">
        <v>2</v>
      </c>
      <c r="D264" s="14" t="s">
        <v>51</v>
      </c>
      <c r="E264" s="15" t="n">
        <v>146707.18</v>
      </c>
      <c r="F264" s="15" t="n">
        <v>108389.47</v>
      </c>
      <c r="G264" s="16" t="n">
        <f aca="false">ROUND(E264+F264,2)</f>
        <v>255096.65</v>
      </c>
    </row>
    <row r="265" customFormat="false" ht="15" hidden="false" customHeight="false" outlineLevel="0" collapsed="false">
      <c r="A265" s="14" t="s">
        <v>37</v>
      </c>
      <c r="B265" s="14" t="n">
        <v>2026</v>
      </c>
      <c r="C265" s="14" t="n">
        <v>3</v>
      </c>
      <c r="D265" s="14" t="s">
        <v>52</v>
      </c>
      <c r="E265" s="15" t="n">
        <v>168466.71</v>
      </c>
      <c r="F265" s="15" t="n">
        <v>122300.81</v>
      </c>
      <c r="G265" s="16" t="n">
        <f aca="false">ROUND(E265+F265,2)</f>
        <v>290767.52</v>
      </c>
    </row>
    <row r="266" customFormat="false" ht="15" hidden="false" customHeight="false" outlineLevel="0" collapsed="false">
      <c r="A266" s="14" t="s">
        <v>37</v>
      </c>
      <c r="B266" s="14" t="n">
        <v>2026</v>
      </c>
      <c r="C266" s="14" t="n">
        <v>4</v>
      </c>
      <c r="D266" s="14" t="s">
        <v>53</v>
      </c>
      <c r="E266" s="15" t="n">
        <v>165849</v>
      </c>
      <c r="F266" s="15" t="n">
        <v>147987.17</v>
      </c>
      <c r="G266" s="16" t="n">
        <f aca="false">ROUND(E266+F266,2)</f>
        <v>313836.17</v>
      </c>
    </row>
    <row r="267" customFormat="false" ht="15" hidden="false" customHeight="false" outlineLevel="0" collapsed="false">
      <c r="A267" s="14" t="s">
        <v>37</v>
      </c>
      <c r="B267" s="14" t="n">
        <v>2026</v>
      </c>
      <c r="C267" s="14" t="n">
        <v>5</v>
      </c>
      <c r="D267" s="14" t="s">
        <v>54</v>
      </c>
      <c r="E267" s="15" t="n">
        <v>121971.71</v>
      </c>
      <c r="F267" s="15" t="n">
        <v>116051.34</v>
      </c>
      <c r="G267" s="16" t="n">
        <f aca="false">ROUND(E267+F267,2)</f>
        <v>238023.05</v>
      </c>
    </row>
    <row r="268" customFormat="false" ht="15" hidden="false" customHeight="false" outlineLevel="0" collapsed="false">
      <c r="A268" s="14" t="s">
        <v>37</v>
      </c>
      <c r="B268" s="14" t="n">
        <v>2026</v>
      </c>
      <c r="C268" s="14" t="n">
        <v>6</v>
      </c>
      <c r="D268" s="14" t="s">
        <v>55</v>
      </c>
      <c r="E268" s="15" t="n">
        <v>136316</v>
      </c>
      <c r="F268" s="15" t="n">
        <v>116244.06</v>
      </c>
      <c r="G268" s="16" t="n">
        <f aca="false">ROUND(E268+F268,2)</f>
        <v>252560.06</v>
      </c>
    </row>
    <row r="269" customFormat="false" ht="15" hidden="false" customHeight="false" outlineLevel="0" collapsed="false">
      <c r="A269" s="14" t="s">
        <v>37</v>
      </c>
      <c r="B269" s="14" t="n">
        <v>2026</v>
      </c>
      <c r="C269" s="14" t="n">
        <v>7</v>
      </c>
      <c r="D269" s="14" t="s">
        <v>56</v>
      </c>
      <c r="E269" s="15" t="n">
        <v>156305.96</v>
      </c>
      <c r="F269" s="15" t="n">
        <v>139933.37</v>
      </c>
      <c r="G269" s="16" t="n">
        <f aca="false">ROUND(E269+F269,2)</f>
        <v>296239.33</v>
      </c>
    </row>
    <row r="270" customFormat="false" ht="15" hidden="false" customHeight="false" outlineLevel="0" collapsed="false">
      <c r="A270" s="14" t="s">
        <v>15</v>
      </c>
      <c r="B270" s="14" t="n">
        <v>2021</v>
      </c>
      <c r="C270" s="14" t="n">
        <v>1</v>
      </c>
      <c r="D270" s="14" t="s">
        <v>50</v>
      </c>
      <c r="E270" s="15" t="n">
        <v>252412.43</v>
      </c>
      <c r="F270" s="15" t="n">
        <v>75074.42</v>
      </c>
      <c r="G270" s="16" t="n">
        <f aca="false">ROUND(E270+F270,2)</f>
        <v>327486.85</v>
      </c>
    </row>
    <row r="271" customFormat="false" ht="15" hidden="false" customHeight="false" outlineLevel="0" collapsed="false">
      <c r="A271" s="14" t="s">
        <v>15</v>
      </c>
      <c r="B271" s="14" t="n">
        <v>2021</v>
      </c>
      <c r="C271" s="14" t="n">
        <v>2</v>
      </c>
      <c r="D271" s="14" t="s">
        <v>51</v>
      </c>
      <c r="E271" s="15" t="n">
        <v>290500.02</v>
      </c>
      <c r="F271" s="15" t="n">
        <v>80268.9</v>
      </c>
      <c r="G271" s="16" t="n">
        <f aca="false">ROUND(E271+F271,2)</f>
        <v>370768.92</v>
      </c>
    </row>
    <row r="272" customFormat="false" ht="15" hidden="false" customHeight="false" outlineLevel="0" collapsed="false">
      <c r="A272" s="14" t="s">
        <v>15</v>
      </c>
      <c r="B272" s="14" t="n">
        <v>2021</v>
      </c>
      <c r="C272" s="14" t="n">
        <v>3</v>
      </c>
      <c r="D272" s="14" t="s">
        <v>52</v>
      </c>
      <c r="E272" s="15" t="n">
        <v>334341.74</v>
      </c>
      <c r="F272" s="15" t="n">
        <v>99049.29</v>
      </c>
      <c r="G272" s="16" t="n">
        <f aca="false">ROUND(E272+F272,2)</f>
        <v>433391.03</v>
      </c>
    </row>
    <row r="273" customFormat="false" ht="15" hidden="false" customHeight="false" outlineLevel="0" collapsed="false">
      <c r="A273" s="14" t="s">
        <v>15</v>
      </c>
      <c r="B273" s="14" t="n">
        <v>2021</v>
      </c>
      <c r="C273" s="14" t="n">
        <v>4</v>
      </c>
      <c r="D273" s="14" t="s">
        <v>53</v>
      </c>
      <c r="E273" s="15" t="n">
        <v>304495.47</v>
      </c>
      <c r="F273" s="15" t="n">
        <v>90961.5</v>
      </c>
      <c r="G273" s="16" t="n">
        <f aca="false">ROUND(E273+F273,2)</f>
        <v>395456.97</v>
      </c>
    </row>
    <row r="274" customFormat="false" ht="15" hidden="false" customHeight="false" outlineLevel="0" collapsed="false">
      <c r="A274" s="14" t="s">
        <v>15</v>
      </c>
      <c r="B274" s="14" t="n">
        <v>2021</v>
      </c>
      <c r="C274" s="14" t="n">
        <v>5</v>
      </c>
      <c r="D274" s="14" t="s">
        <v>54</v>
      </c>
      <c r="E274" s="15" t="n">
        <v>287392.91</v>
      </c>
      <c r="F274" s="15" t="n">
        <v>93895.96</v>
      </c>
      <c r="G274" s="16" t="n">
        <f aca="false">ROUND(E274+F274,2)</f>
        <v>381288.87</v>
      </c>
    </row>
    <row r="275" customFormat="false" ht="15" hidden="false" customHeight="false" outlineLevel="0" collapsed="false">
      <c r="A275" s="14" t="s">
        <v>15</v>
      </c>
      <c r="B275" s="14" t="n">
        <v>2021</v>
      </c>
      <c r="C275" s="14" t="n">
        <v>6</v>
      </c>
      <c r="D275" s="14" t="s">
        <v>55</v>
      </c>
      <c r="E275" s="15" t="n">
        <v>310658.28</v>
      </c>
      <c r="F275" s="15" t="n">
        <v>106082.95</v>
      </c>
      <c r="G275" s="16" t="n">
        <f aca="false">ROUND(E275+F275,2)</f>
        <v>416741.23</v>
      </c>
    </row>
    <row r="276" customFormat="false" ht="15" hidden="false" customHeight="false" outlineLevel="0" collapsed="false">
      <c r="A276" s="14" t="s">
        <v>15</v>
      </c>
      <c r="B276" s="14" t="n">
        <v>2021</v>
      </c>
      <c r="C276" s="14" t="n">
        <v>7</v>
      </c>
      <c r="D276" s="14" t="s">
        <v>56</v>
      </c>
      <c r="E276" s="15" t="n">
        <v>323372.39</v>
      </c>
      <c r="F276" s="15" t="n">
        <v>118846</v>
      </c>
      <c r="G276" s="16" t="n">
        <f aca="false">ROUND(E276+F276,2)</f>
        <v>442218.39</v>
      </c>
    </row>
    <row r="277" customFormat="false" ht="15" hidden="false" customHeight="false" outlineLevel="0" collapsed="false">
      <c r="A277" s="14" t="s">
        <v>15</v>
      </c>
      <c r="B277" s="14" t="n">
        <v>2021</v>
      </c>
      <c r="C277" s="14" t="n">
        <v>8</v>
      </c>
      <c r="D277" s="14" t="s">
        <v>57</v>
      </c>
      <c r="E277" s="15" t="n">
        <v>305654.21</v>
      </c>
      <c r="F277" s="15" t="n">
        <v>106849.44</v>
      </c>
      <c r="G277" s="16" t="n">
        <f aca="false">ROUND(E277+F277,2)</f>
        <v>412503.65</v>
      </c>
    </row>
    <row r="278" customFormat="false" ht="15" hidden="false" customHeight="false" outlineLevel="0" collapsed="false">
      <c r="A278" s="14" t="s">
        <v>15</v>
      </c>
      <c r="B278" s="14" t="n">
        <v>2021</v>
      </c>
      <c r="C278" s="14" t="n">
        <v>9</v>
      </c>
      <c r="D278" s="14" t="s">
        <v>58</v>
      </c>
      <c r="E278" s="15" t="n">
        <v>300275.46</v>
      </c>
      <c r="F278" s="15" t="n">
        <v>157641.5</v>
      </c>
      <c r="G278" s="16" t="n">
        <f aca="false">ROUND(E278+F278,2)</f>
        <v>457916.96</v>
      </c>
    </row>
    <row r="279" customFormat="false" ht="15" hidden="false" customHeight="false" outlineLevel="0" collapsed="false">
      <c r="A279" s="14" t="s">
        <v>15</v>
      </c>
      <c r="B279" s="14" t="n">
        <v>2021</v>
      </c>
      <c r="C279" s="14" t="n">
        <v>10</v>
      </c>
      <c r="D279" s="14" t="s">
        <v>59</v>
      </c>
      <c r="E279" s="15" t="n">
        <v>321271.98</v>
      </c>
      <c r="F279" s="15" t="n">
        <v>120997.82</v>
      </c>
      <c r="G279" s="16" t="n">
        <f aca="false">ROUND(E279+F279,2)</f>
        <v>442269.8</v>
      </c>
    </row>
    <row r="280" customFormat="false" ht="15" hidden="false" customHeight="false" outlineLevel="0" collapsed="false">
      <c r="A280" s="14" t="s">
        <v>15</v>
      </c>
      <c r="B280" s="14" t="n">
        <v>2021</v>
      </c>
      <c r="C280" s="14" t="n">
        <v>11</v>
      </c>
      <c r="D280" s="14" t="s">
        <v>60</v>
      </c>
      <c r="E280" s="15" t="n">
        <v>272509.17</v>
      </c>
      <c r="F280" s="15" t="n">
        <v>100800.06</v>
      </c>
      <c r="G280" s="16" t="n">
        <f aca="false">ROUND(E280+F280,2)</f>
        <v>373309.23</v>
      </c>
    </row>
    <row r="281" customFormat="false" ht="15" hidden="false" customHeight="false" outlineLevel="0" collapsed="false">
      <c r="A281" s="14" t="s">
        <v>15</v>
      </c>
      <c r="B281" s="14" t="n">
        <v>2021</v>
      </c>
      <c r="C281" s="14" t="n">
        <v>12</v>
      </c>
      <c r="D281" s="14" t="s">
        <v>61</v>
      </c>
      <c r="E281" s="15" t="n">
        <v>280957.6</v>
      </c>
      <c r="F281" s="15" t="n">
        <v>104984.41</v>
      </c>
      <c r="G281" s="16" t="n">
        <f aca="false">ROUND(E281+F281,2)</f>
        <v>385942.01</v>
      </c>
    </row>
    <row r="282" customFormat="false" ht="15" hidden="false" customHeight="false" outlineLevel="0" collapsed="false">
      <c r="A282" s="14" t="s">
        <v>15</v>
      </c>
      <c r="B282" s="14" t="n">
        <v>2022</v>
      </c>
      <c r="C282" s="14" t="n">
        <v>1</v>
      </c>
      <c r="D282" s="14" t="s">
        <v>50</v>
      </c>
      <c r="E282" s="15" t="n">
        <v>275249.65</v>
      </c>
      <c r="F282" s="15" t="n">
        <v>93079.46</v>
      </c>
      <c r="G282" s="16" t="n">
        <f aca="false">ROUND(E282+F282,2)</f>
        <v>368329.11</v>
      </c>
    </row>
    <row r="283" customFormat="false" ht="15" hidden="false" customHeight="false" outlineLevel="0" collapsed="false">
      <c r="A283" s="14" t="s">
        <v>15</v>
      </c>
      <c r="B283" s="14" t="n">
        <v>2022</v>
      </c>
      <c r="C283" s="14" t="n">
        <v>2</v>
      </c>
      <c r="D283" s="14" t="s">
        <v>51</v>
      </c>
      <c r="E283" s="15" t="n">
        <v>333057.45</v>
      </c>
      <c r="F283" s="15" t="n">
        <v>118749.71</v>
      </c>
      <c r="G283" s="16" t="n">
        <f aca="false">ROUND(E283+F283,2)</f>
        <v>451807.16</v>
      </c>
    </row>
    <row r="284" customFormat="false" ht="15" hidden="false" customHeight="false" outlineLevel="0" collapsed="false">
      <c r="A284" s="14" t="s">
        <v>15</v>
      </c>
      <c r="B284" s="14" t="n">
        <v>2022</v>
      </c>
      <c r="C284" s="14" t="n">
        <v>3</v>
      </c>
      <c r="D284" s="14" t="s">
        <v>52</v>
      </c>
      <c r="E284" s="15" t="n">
        <v>355406.97</v>
      </c>
      <c r="F284" s="15" t="n">
        <v>129684.26</v>
      </c>
      <c r="G284" s="16" t="n">
        <f aca="false">ROUND(E284+F284,2)</f>
        <v>485091.23</v>
      </c>
    </row>
    <row r="285" customFormat="false" ht="15" hidden="false" customHeight="false" outlineLevel="0" collapsed="false">
      <c r="A285" s="14" t="s">
        <v>15</v>
      </c>
      <c r="B285" s="14" t="n">
        <v>2022</v>
      </c>
      <c r="C285" s="14" t="n">
        <v>4</v>
      </c>
      <c r="D285" s="14" t="s">
        <v>53</v>
      </c>
      <c r="E285" s="15" t="n">
        <v>374670.02</v>
      </c>
      <c r="F285" s="15" t="n">
        <v>131536.81</v>
      </c>
      <c r="G285" s="16" t="n">
        <f aca="false">ROUND(E285+F285,2)</f>
        <v>506206.83</v>
      </c>
    </row>
    <row r="286" customFormat="false" ht="15" hidden="false" customHeight="false" outlineLevel="0" collapsed="false">
      <c r="A286" s="14" t="s">
        <v>15</v>
      </c>
      <c r="B286" s="14" t="n">
        <v>2022</v>
      </c>
      <c r="C286" s="14" t="n">
        <v>5</v>
      </c>
      <c r="D286" s="14" t="s">
        <v>54</v>
      </c>
      <c r="E286" s="15" t="n">
        <v>387649.14</v>
      </c>
      <c r="F286" s="15" t="n">
        <v>126159.3</v>
      </c>
      <c r="G286" s="16" t="n">
        <f aca="false">ROUND(E286+F286,2)</f>
        <v>513808.44</v>
      </c>
    </row>
    <row r="287" customFormat="false" ht="15" hidden="false" customHeight="false" outlineLevel="0" collapsed="false">
      <c r="A287" s="14" t="s">
        <v>15</v>
      </c>
      <c r="B287" s="14" t="n">
        <v>2022</v>
      </c>
      <c r="C287" s="14" t="n">
        <v>6</v>
      </c>
      <c r="D287" s="14" t="s">
        <v>55</v>
      </c>
      <c r="E287" s="15" t="n">
        <v>467635.25</v>
      </c>
      <c r="F287" s="15" t="n">
        <v>149126.7</v>
      </c>
      <c r="G287" s="16" t="n">
        <f aca="false">ROUND(E287+F287,2)</f>
        <v>616761.95</v>
      </c>
    </row>
    <row r="288" customFormat="false" ht="15" hidden="false" customHeight="false" outlineLevel="0" collapsed="false">
      <c r="A288" s="14" t="s">
        <v>15</v>
      </c>
      <c r="B288" s="14" t="n">
        <v>2022</v>
      </c>
      <c r="C288" s="14" t="n">
        <v>7</v>
      </c>
      <c r="D288" s="14" t="s">
        <v>56</v>
      </c>
      <c r="E288" s="15" t="n">
        <v>404019.5</v>
      </c>
      <c r="F288" s="15" t="n">
        <v>132371.59</v>
      </c>
      <c r="G288" s="16" t="n">
        <f aca="false">ROUND(E288+F288,2)</f>
        <v>536391.09</v>
      </c>
    </row>
    <row r="289" customFormat="false" ht="15" hidden="false" customHeight="false" outlineLevel="0" collapsed="false">
      <c r="A289" s="14" t="s">
        <v>15</v>
      </c>
      <c r="B289" s="14" t="n">
        <v>2022</v>
      </c>
      <c r="C289" s="14" t="n">
        <v>8</v>
      </c>
      <c r="D289" s="14" t="s">
        <v>57</v>
      </c>
      <c r="E289" s="15" t="n">
        <v>426883.6</v>
      </c>
      <c r="F289" s="15" t="n">
        <v>138166.38</v>
      </c>
      <c r="G289" s="16" t="n">
        <f aca="false">ROUND(E289+F289,2)</f>
        <v>565049.98</v>
      </c>
    </row>
    <row r="290" customFormat="false" ht="15" hidden="false" customHeight="false" outlineLevel="0" collapsed="false">
      <c r="A290" s="14" t="s">
        <v>15</v>
      </c>
      <c r="B290" s="14" t="n">
        <v>2022</v>
      </c>
      <c r="C290" s="14" t="n">
        <v>9</v>
      </c>
      <c r="D290" s="14" t="s">
        <v>58</v>
      </c>
      <c r="E290" s="15" t="n">
        <v>443910.52</v>
      </c>
      <c r="F290" s="15" t="n">
        <v>150715.34</v>
      </c>
      <c r="G290" s="16" t="n">
        <f aca="false">ROUND(E290+F290,2)</f>
        <v>594625.86</v>
      </c>
    </row>
    <row r="291" customFormat="false" ht="15" hidden="false" customHeight="false" outlineLevel="0" collapsed="false">
      <c r="A291" s="14" t="s">
        <v>15</v>
      </c>
      <c r="B291" s="14" t="n">
        <v>2022</v>
      </c>
      <c r="C291" s="14" t="n">
        <v>10</v>
      </c>
      <c r="D291" s="14" t="s">
        <v>59</v>
      </c>
      <c r="E291" s="15" t="n">
        <v>460143.54</v>
      </c>
      <c r="F291" s="15" t="n">
        <v>168833.38</v>
      </c>
      <c r="G291" s="16" t="n">
        <f aca="false">ROUND(E291+F291,2)</f>
        <v>628976.92</v>
      </c>
    </row>
    <row r="292" customFormat="false" ht="15" hidden="false" customHeight="false" outlineLevel="0" collapsed="false">
      <c r="A292" s="14" t="s">
        <v>15</v>
      </c>
      <c r="B292" s="14" t="n">
        <v>2022</v>
      </c>
      <c r="C292" s="14" t="n">
        <v>11</v>
      </c>
      <c r="D292" s="14" t="s">
        <v>60</v>
      </c>
      <c r="E292" s="15" t="n">
        <v>413973.27</v>
      </c>
      <c r="F292" s="15" t="n">
        <v>174775.95</v>
      </c>
      <c r="G292" s="16" t="n">
        <f aca="false">ROUND(E292+F292,2)</f>
        <v>588749.22</v>
      </c>
    </row>
    <row r="293" customFormat="false" ht="15" hidden="false" customHeight="false" outlineLevel="0" collapsed="false">
      <c r="A293" s="14" t="s">
        <v>15</v>
      </c>
      <c r="B293" s="14" t="n">
        <v>2022</v>
      </c>
      <c r="C293" s="14" t="n">
        <v>12</v>
      </c>
      <c r="D293" s="14" t="s">
        <v>61</v>
      </c>
      <c r="E293" s="15" t="n">
        <v>452055.1</v>
      </c>
      <c r="F293" s="15" t="n">
        <v>178873.15</v>
      </c>
      <c r="G293" s="16" t="n">
        <f aca="false">ROUND(E293+F293,2)</f>
        <v>630928.25</v>
      </c>
    </row>
    <row r="294" customFormat="false" ht="15" hidden="false" customHeight="false" outlineLevel="0" collapsed="false">
      <c r="A294" s="14" t="s">
        <v>15</v>
      </c>
      <c r="B294" s="14" t="n">
        <v>2023</v>
      </c>
      <c r="C294" s="14" t="n">
        <v>1</v>
      </c>
      <c r="D294" s="14" t="s">
        <v>50</v>
      </c>
      <c r="E294" s="15" t="n">
        <v>447165.91</v>
      </c>
      <c r="F294" s="15" t="n">
        <v>160390.73</v>
      </c>
      <c r="G294" s="16" t="n">
        <f aca="false">ROUND(E294+F294,2)</f>
        <v>607556.64</v>
      </c>
    </row>
    <row r="295" customFormat="false" ht="15" hidden="false" customHeight="false" outlineLevel="0" collapsed="false">
      <c r="A295" s="14" t="s">
        <v>15</v>
      </c>
      <c r="B295" s="14" t="n">
        <v>2023</v>
      </c>
      <c r="C295" s="14" t="n">
        <v>2</v>
      </c>
      <c r="D295" s="14" t="s">
        <v>51</v>
      </c>
      <c r="E295" s="15" t="n">
        <v>422353.6</v>
      </c>
      <c r="F295" s="15" t="n">
        <v>150234.77</v>
      </c>
      <c r="G295" s="16" t="n">
        <f aca="false">ROUND(E295+F295,2)</f>
        <v>572588.37</v>
      </c>
    </row>
    <row r="296" customFormat="false" ht="15" hidden="false" customHeight="false" outlineLevel="0" collapsed="false">
      <c r="A296" s="14" t="s">
        <v>15</v>
      </c>
      <c r="B296" s="14" t="n">
        <v>2023</v>
      </c>
      <c r="C296" s="14" t="n">
        <v>3</v>
      </c>
      <c r="D296" s="14" t="s">
        <v>52</v>
      </c>
      <c r="E296" s="15" t="n">
        <v>487962.05</v>
      </c>
      <c r="F296" s="15" t="n">
        <v>158187.63</v>
      </c>
      <c r="G296" s="16" t="n">
        <f aca="false">ROUND(E296+F296,2)</f>
        <v>646149.68</v>
      </c>
    </row>
    <row r="297" customFormat="false" ht="15" hidden="false" customHeight="false" outlineLevel="0" collapsed="false">
      <c r="A297" s="14" t="s">
        <v>15</v>
      </c>
      <c r="B297" s="14" t="n">
        <v>2023</v>
      </c>
      <c r="C297" s="14" t="n">
        <v>4</v>
      </c>
      <c r="D297" s="14" t="s">
        <v>53</v>
      </c>
      <c r="E297" s="15" t="n">
        <v>484596.96</v>
      </c>
      <c r="F297" s="15" t="n">
        <v>174716.59</v>
      </c>
      <c r="G297" s="16" t="n">
        <f aca="false">ROUND(E297+F297,2)</f>
        <v>659313.55</v>
      </c>
    </row>
    <row r="298" customFormat="false" ht="15" hidden="false" customHeight="false" outlineLevel="0" collapsed="false">
      <c r="A298" s="14" t="s">
        <v>15</v>
      </c>
      <c r="B298" s="14" t="n">
        <v>2023</v>
      </c>
      <c r="C298" s="14" t="n">
        <v>5</v>
      </c>
      <c r="D298" s="14" t="s">
        <v>54</v>
      </c>
      <c r="E298" s="15" t="n">
        <v>539524.75</v>
      </c>
      <c r="F298" s="15" t="n">
        <v>186538.19</v>
      </c>
      <c r="G298" s="16" t="n">
        <f aca="false">ROUND(E298+F298,2)</f>
        <v>726062.94</v>
      </c>
    </row>
    <row r="299" customFormat="false" ht="15" hidden="false" customHeight="false" outlineLevel="0" collapsed="false">
      <c r="A299" s="14" t="s">
        <v>15</v>
      </c>
      <c r="B299" s="14" t="n">
        <v>2023</v>
      </c>
      <c r="C299" s="14" t="n">
        <v>6</v>
      </c>
      <c r="D299" s="14" t="s">
        <v>55</v>
      </c>
      <c r="E299" s="15" t="n">
        <v>497923.74</v>
      </c>
      <c r="F299" s="15" t="n">
        <v>170180.66</v>
      </c>
      <c r="G299" s="16" t="n">
        <f aca="false">ROUND(E299+F299,2)</f>
        <v>668104.4</v>
      </c>
    </row>
    <row r="300" customFormat="false" ht="15" hidden="false" customHeight="false" outlineLevel="0" collapsed="false">
      <c r="A300" s="14" t="s">
        <v>15</v>
      </c>
      <c r="B300" s="14" t="n">
        <v>2023</v>
      </c>
      <c r="C300" s="14" t="n">
        <v>7</v>
      </c>
      <c r="D300" s="14" t="s">
        <v>56</v>
      </c>
      <c r="E300" s="15" t="n">
        <v>535670.97</v>
      </c>
      <c r="F300" s="15" t="n">
        <v>172207.85</v>
      </c>
      <c r="G300" s="16" t="n">
        <f aca="false">ROUND(E300+F300,2)</f>
        <v>707878.82</v>
      </c>
    </row>
    <row r="301" customFormat="false" ht="15" hidden="false" customHeight="false" outlineLevel="0" collapsed="false">
      <c r="A301" s="14" t="s">
        <v>15</v>
      </c>
      <c r="B301" s="14" t="n">
        <v>2023</v>
      </c>
      <c r="C301" s="14" t="n">
        <v>8</v>
      </c>
      <c r="D301" s="14" t="s">
        <v>57</v>
      </c>
      <c r="E301" s="15" t="n">
        <v>603567.97</v>
      </c>
      <c r="F301" s="15" t="n">
        <v>225154.57</v>
      </c>
      <c r="G301" s="16" t="n">
        <f aca="false">ROUND(E301+F301,2)</f>
        <v>828722.54</v>
      </c>
    </row>
    <row r="302" customFormat="false" ht="15" hidden="false" customHeight="false" outlineLevel="0" collapsed="false">
      <c r="A302" s="14" t="s">
        <v>15</v>
      </c>
      <c r="B302" s="14" t="n">
        <v>2023</v>
      </c>
      <c r="C302" s="14" t="n">
        <v>9</v>
      </c>
      <c r="D302" s="14" t="s">
        <v>58</v>
      </c>
      <c r="E302" s="15" t="n">
        <v>526433.55</v>
      </c>
      <c r="F302" s="15" t="n">
        <v>186886.62</v>
      </c>
      <c r="G302" s="16" t="n">
        <f aca="false">ROUND(E302+F302,2)</f>
        <v>713320.17</v>
      </c>
    </row>
    <row r="303" customFormat="false" ht="15" hidden="false" customHeight="false" outlineLevel="0" collapsed="false">
      <c r="A303" s="14" t="s">
        <v>15</v>
      </c>
      <c r="B303" s="14" t="n">
        <v>2023</v>
      </c>
      <c r="C303" s="14" t="n">
        <v>10</v>
      </c>
      <c r="D303" s="14" t="s">
        <v>59</v>
      </c>
      <c r="E303" s="15" t="n">
        <v>578672.79</v>
      </c>
      <c r="F303" s="15" t="n">
        <v>164347.51</v>
      </c>
      <c r="G303" s="16" t="n">
        <f aca="false">ROUND(E303+F303,2)</f>
        <v>743020.3</v>
      </c>
    </row>
    <row r="304" customFormat="false" ht="15" hidden="false" customHeight="false" outlineLevel="0" collapsed="false">
      <c r="A304" s="14" t="s">
        <v>15</v>
      </c>
      <c r="B304" s="14" t="n">
        <v>2023</v>
      </c>
      <c r="C304" s="14" t="n">
        <v>11</v>
      </c>
      <c r="D304" s="14" t="s">
        <v>60</v>
      </c>
      <c r="E304" s="15" t="n">
        <v>549329.01</v>
      </c>
      <c r="F304" s="15" t="n">
        <v>188891.79</v>
      </c>
      <c r="G304" s="16" t="n">
        <f aca="false">ROUND(E304+F304,2)</f>
        <v>738220.8</v>
      </c>
    </row>
    <row r="305" customFormat="false" ht="15" hidden="false" customHeight="false" outlineLevel="0" collapsed="false">
      <c r="A305" s="14" t="s">
        <v>15</v>
      </c>
      <c r="B305" s="14" t="n">
        <v>2023</v>
      </c>
      <c r="C305" s="14" t="n">
        <v>12</v>
      </c>
      <c r="D305" s="14" t="s">
        <v>61</v>
      </c>
      <c r="E305" s="15" t="n">
        <v>536329.57</v>
      </c>
      <c r="F305" s="15" t="n">
        <v>135886.94</v>
      </c>
      <c r="G305" s="16" t="n">
        <f aca="false">ROUND(E305+F305,2)</f>
        <v>672216.51</v>
      </c>
    </row>
    <row r="306" customFormat="false" ht="15" hidden="false" customHeight="false" outlineLevel="0" collapsed="false">
      <c r="A306" s="14" t="s">
        <v>15</v>
      </c>
      <c r="B306" s="14" t="n">
        <v>2024</v>
      </c>
      <c r="C306" s="14" t="n">
        <v>1</v>
      </c>
      <c r="D306" s="14" t="s">
        <v>50</v>
      </c>
      <c r="E306" s="15" t="n">
        <v>522367.67</v>
      </c>
      <c r="F306" s="15" t="n">
        <v>189757.29</v>
      </c>
      <c r="G306" s="16" t="n">
        <f aca="false">ROUND(E306+F306,2)</f>
        <v>712124.96</v>
      </c>
    </row>
    <row r="307" customFormat="false" ht="15" hidden="false" customHeight="false" outlineLevel="0" collapsed="false">
      <c r="A307" s="14" t="s">
        <v>15</v>
      </c>
      <c r="B307" s="14" t="n">
        <v>2024</v>
      </c>
      <c r="C307" s="14" t="n">
        <v>2</v>
      </c>
      <c r="D307" s="14" t="s">
        <v>51</v>
      </c>
      <c r="E307" s="15" t="n">
        <v>600909.31</v>
      </c>
      <c r="F307" s="15" t="n">
        <v>269886.35</v>
      </c>
      <c r="G307" s="16" t="n">
        <f aca="false">ROUND(E307+F307,2)</f>
        <v>870795.66</v>
      </c>
    </row>
    <row r="308" customFormat="false" ht="15" hidden="false" customHeight="false" outlineLevel="0" collapsed="false">
      <c r="A308" s="14" t="s">
        <v>15</v>
      </c>
      <c r="B308" s="14" t="n">
        <v>2024</v>
      </c>
      <c r="C308" s="14" t="n">
        <v>3</v>
      </c>
      <c r="D308" s="14" t="s">
        <v>52</v>
      </c>
      <c r="E308" s="15" t="n">
        <v>723593.63</v>
      </c>
      <c r="F308" s="15" t="n">
        <v>236807.1</v>
      </c>
      <c r="G308" s="16" t="n">
        <f aca="false">ROUND(E308+F308,2)</f>
        <v>960400.73</v>
      </c>
    </row>
    <row r="309" customFormat="false" ht="15" hidden="false" customHeight="false" outlineLevel="0" collapsed="false">
      <c r="A309" s="14" t="s">
        <v>15</v>
      </c>
      <c r="B309" s="14" t="n">
        <v>2024</v>
      </c>
      <c r="C309" s="14" t="n">
        <v>4</v>
      </c>
      <c r="D309" s="14" t="s">
        <v>53</v>
      </c>
      <c r="E309" s="15" t="n">
        <v>712861.03</v>
      </c>
      <c r="F309" s="15" t="n">
        <v>185460.19</v>
      </c>
      <c r="G309" s="16" t="n">
        <f aca="false">ROUND(E309+F309,2)</f>
        <v>898321.22</v>
      </c>
    </row>
    <row r="310" customFormat="false" ht="15" hidden="false" customHeight="false" outlineLevel="0" collapsed="false">
      <c r="A310" s="14" t="s">
        <v>15</v>
      </c>
      <c r="B310" s="14" t="n">
        <v>2024</v>
      </c>
      <c r="C310" s="14" t="n">
        <v>5</v>
      </c>
      <c r="D310" s="14" t="s">
        <v>54</v>
      </c>
      <c r="E310" s="15" t="n">
        <v>720572.65</v>
      </c>
      <c r="F310" s="15" t="n">
        <v>206325.62</v>
      </c>
      <c r="G310" s="16" t="n">
        <f aca="false">ROUND(E310+F310,2)</f>
        <v>926898.27</v>
      </c>
    </row>
    <row r="311" customFormat="false" ht="15" hidden="false" customHeight="false" outlineLevel="0" collapsed="false">
      <c r="A311" s="14" t="s">
        <v>15</v>
      </c>
      <c r="B311" s="14" t="n">
        <v>2024</v>
      </c>
      <c r="C311" s="14" t="n">
        <v>6</v>
      </c>
      <c r="D311" s="14" t="s">
        <v>55</v>
      </c>
      <c r="E311" s="15" t="n">
        <v>266567.07</v>
      </c>
      <c r="F311" s="15" t="n">
        <v>66761.67</v>
      </c>
      <c r="G311" s="16" t="n">
        <f aca="false">ROUND(E311+F311,2)</f>
        <v>333328.74</v>
      </c>
    </row>
    <row r="312" customFormat="false" ht="15" hidden="false" customHeight="false" outlineLevel="0" collapsed="false">
      <c r="A312" s="14" t="s">
        <v>15</v>
      </c>
      <c r="B312" s="14" t="n">
        <v>2024</v>
      </c>
      <c r="C312" s="14" t="n">
        <v>7</v>
      </c>
      <c r="D312" s="14" t="s">
        <v>56</v>
      </c>
      <c r="E312" s="15" t="n">
        <v>773351.51</v>
      </c>
      <c r="F312" s="15" t="n">
        <v>274957.89</v>
      </c>
      <c r="G312" s="16" t="n">
        <f aca="false">ROUND(E312+F312,2)</f>
        <v>1048309.4</v>
      </c>
    </row>
    <row r="313" customFormat="false" ht="15" hidden="false" customHeight="false" outlineLevel="0" collapsed="false">
      <c r="A313" s="14" t="s">
        <v>15</v>
      </c>
      <c r="B313" s="14" t="n">
        <v>2024</v>
      </c>
      <c r="C313" s="14" t="n">
        <v>8</v>
      </c>
      <c r="D313" s="14" t="s">
        <v>57</v>
      </c>
      <c r="E313" s="15" t="n">
        <v>662598.48</v>
      </c>
      <c r="F313" s="15" t="n">
        <v>299993.69</v>
      </c>
      <c r="G313" s="16" t="n">
        <f aca="false">ROUND(E313+F313,2)</f>
        <v>962592.17</v>
      </c>
    </row>
    <row r="314" customFormat="false" ht="15" hidden="false" customHeight="false" outlineLevel="0" collapsed="false">
      <c r="A314" s="14" t="s">
        <v>15</v>
      </c>
      <c r="B314" s="14" t="n">
        <v>2024</v>
      </c>
      <c r="C314" s="14" t="n">
        <v>9</v>
      </c>
      <c r="D314" s="14" t="s">
        <v>58</v>
      </c>
      <c r="E314" s="15" t="n">
        <v>603359.2</v>
      </c>
      <c r="F314" s="15" t="n">
        <v>290028.77</v>
      </c>
      <c r="G314" s="16" t="n">
        <f aca="false">ROUND(E314+F314,2)</f>
        <v>893387.97</v>
      </c>
    </row>
    <row r="315" customFormat="false" ht="15" hidden="false" customHeight="false" outlineLevel="0" collapsed="false">
      <c r="A315" s="14" t="s">
        <v>15</v>
      </c>
      <c r="B315" s="14" t="n">
        <v>2024</v>
      </c>
      <c r="C315" s="14" t="n">
        <v>10</v>
      </c>
      <c r="D315" s="14" t="s">
        <v>59</v>
      </c>
      <c r="E315" s="15" t="n">
        <v>643811.3</v>
      </c>
      <c r="F315" s="15" t="n">
        <v>329390.48</v>
      </c>
      <c r="G315" s="16" t="n">
        <f aca="false">ROUND(E315+F315,2)</f>
        <v>973201.78</v>
      </c>
    </row>
    <row r="316" customFormat="false" ht="15" hidden="false" customHeight="false" outlineLevel="0" collapsed="false">
      <c r="A316" s="14" t="s">
        <v>15</v>
      </c>
      <c r="B316" s="14" t="n">
        <v>2024</v>
      </c>
      <c r="C316" s="14" t="n">
        <v>11</v>
      </c>
      <c r="D316" s="14" t="s">
        <v>60</v>
      </c>
      <c r="E316" s="15" t="n">
        <v>686078.91</v>
      </c>
      <c r="F316" s="15" t="n">
        <v>340491.19</v>
      </c>
      <c r="G316" s="16" t="n">
        <f aca="false">ROUND(E316+F316,2)</f>
        <v>1026570.1</v>
      </c>
    </row>
    <row r="317" customFormat="false" ht="15" hidden="false" customHeight="false" outlineLevel="0" collapsed="false">
      <c r="A317" s="14" t="s">
        <v>15</v>
      </c>
      <c r="B317" s="14" t="n">
        <v>2024</v>
      </c>
      <c r="C317" s="14" t="n">
        <v>12</v>
      </c>
      <c r="D317" s="14" t="s">
        <v>61</v>
      </c>
      <c r="E317" s="15" t="n">
        <v>649948.31</v>
      </c>
      <c r="F317" s="15" t="n">
        <v>257570.02</v>
      </c>
      <c r="G317" s="16" t="n">
        <f aca="false">ROUND(E317+F317,2)</f>
        <v>907518.33</v>
      </c>
    </row>
    <row r="318" customFormat="false" ht="15" hidden="false" customHeight="false" outlineLevel="0" collapsed="false">
      <c r="A318" s="14" t="s">
        <v>15</v>
      </c>
      <c r="B318" s="14" t="n">
        <v>2025</v>
      </c>
      <c r="C318" s="14" t="n">
        <v>1</v>
      </c>
      <c r="D318" s="14" t="s">
        <v>50</v>
      </c>
      <c r="E318" s="15" t="n">
        <v>704796.73</v>
      </c>
      <c r="F318" s="15" t="n">
        <v>288780.22</v>
      </c>
      <c r="G318" s="16" t="n">
        <f aca="false">ROUND(E318+F318,2)</f>
        <v>993576.95</v>
      </c>
    </row>
    <row r="319" customFormat="false" ht="15" hidden="false" customHeight="false" outlineLevel="0" collapsed="false">
      <c r="A319" s="14" t="s">
        <v>15</v>
      </c>
      <c r="B319" s="14" t="n">
        <v>2025</v>
      </c>
      <c r="C319" s="14" t="n">
        <v>2</v>
      </c>
      <c r="D319" s="14" t="s">
        <v>51</v>
      </c>
      <c r="E319" s="15" t="n">
        <v>680979.82</v>
      </c>
      <c r="F319" s="15" t="n">
        <v>287893.23</v>
      </c>
      <c r="G319" s="16" t="n">
        <f aca="false">ROUND(E319+F319,2)</f>
        <v>968873.05</v>
      </c>
    </row>
    <row r="320" customFormat="false" ht="15" hidden="false" customHeight="false" outlineLevel="0" collapsed="false">
      <c r="A320" s="14" t="s">
        <v>15</v>
      </c>
      <c r="B320" s="14" t="n">
        <v>2025</v>
      </c>
      <c r="C320" s="14" t="n">
        <v>3</v>
      </c>
      <c r="D320" s="14" t="s">
        <v>52</v>
      </c>
      <c r="E320" s="15" t="n">
        <v>667119.32</v>
      </c>
      <c r="F320" s="15" t="n">
        <v>277157.05</v>
      </c>
      <c r="G320" s="16" t="n">
        <f aca="false">ROUND(E320+F320,2)</f>
        <v>944276.37</v>
      </c>
    </row>
    <row r="321" customFormat="false" ht="15" hidden="false" customHeight="false" outlineLevel="0" collapsed="false">
      <c r="A321" s="14" t="s">
        <v>15</v>
      </c>
      <c r="B321" s="14" t="n">
        <v>2025</v>
      </c>
      <c r="C321" s="14" t="n">
        <v>4</v>
      </c>
      <c r="D321" s="14" t="s">
        <v>53</v>
      </c>
      <c r="E321" s="15" t="n">
        <v>698803.95</v>
      </c>
      <c r="F321" s="15" t="n">
        <v>249244.4</v>
      </c>
      <c r="G321" s="16" t="n">
        <f aca="false">ROUND(E321+F321,2)</f>
        <v>948048.35</v>
      </c>
    </row>
    <row r="322" customFormat="false" ht="15" hidden="false" customHeight="false" outlineLevel="0" collapsed="false">
      <c r="A322" s="14" t="s">
        <v>15</v>
      </c>
      <c r="B322" s="14" t="n">
        <v>2025</v>
      </c>
      <c r="C322" s="14" t="n">
        <v>5</v>
      </c>
      <c r="D322" s="14" t="s">
        <v>54</v>
      </c>
      <c r="E322" s="15" t="n">
        <v>695649.37</v>
      </c>
      <c r="F322" s="15" t="n">
        <v>267904.23</v>
      </c>
      <c r="G322" s="16" t="n">
        <f aca="false">ROUND(E322+F322,2)</f>
        <v>963553.6</v>
      </c>
    </row>
    <row r="323" customFormat="false" ht="15" hidden="false" customHeight="false" outlineLevel="0" collapsed="false">
      <c r="A323" s="14" t="s">
        <v>15</v>
      </c>
      <c r="B323" s="14" t="n">
        <v>2025</v>
      </c>
      <c r="C323" s="14" t="n">
        <v>6</v>
      </c>
      <c r="D323" s="14" t="s">
        <v>55</v>
      </c>
      <c r="E323" s="15" t="n">
        <v>821749.23</v>
      </c>
      <c r="F323" s="15" t="n">
        <v>262698.23</v>
      </c>
      <c r="G323" s="16" t="n">
        <f aca="false">ROUND(E323+F323,2)</f>
        <v>1084447.46</v>
      </c>
    </row>
    <row r="324" customFormat="false" ht="15" hidden="false" customHeight="false" outlineLevel="0" collapsed="false">
      <c r="A324" s="14" t="s">
        <v>15</v>
      </c>
      <c r="B324" s="14" t="n">
        <v>2025</v>
      </c>
      <c r="C324" s="14" t="n">
        <v>7</v>
      </c>
      <c r="D324" s="14" t="s">
        <v>56</v>
      </c>
      <c r="E324" s="15" t="n">
        <v>759375.94</v>
      </c>
      <c r="F324" s="15" t="n">
        <v>247923.28</v>
      </c>
      <c r="G324" s="16" t="n">
        <f aca="false">ROUND(E324+F324,2)</f>
        <v>1007299.22</v>
      </c>
    </row>
    <row r="325" customFormat="false" ht="15" hidden="false" customHeight="false" outlineLevel="0" collapsed="false">
      <c r="A325" s="14" t="s">
        <v>15</v>
      </c>
      <c r="B325" s="14" t="n">
        <v>2025</v>
      </c>
      <c r="C325" s="14" t="n">
        <v>8</v>
      </c>
      <c r="D325" s="14" t="s">
        <v>57</v>
      </c>
      <c r="E325" s="15" t="n">
        <v>790708.23</v>
      </c>
      <c r="F325" s="15" t="n">
        <v>263121.6</v>
      </c>
      <c r="G325" s="16" t="n">
        <f aca="false">ROUND(E325+F325,2)</f>
        <v>1053829.83</v>
      </c>
    </row>
    <row r="326" customFormat="false" ht="15" hidden="false" customHeight="false" outlineLevel="0" collapsed="false">
      <c r="A326" s="14" t="s">
        <v>15</v>
      </c>
      <c r="B326" s="14" t="n">
        <v>2025</v>
      </c>
      <c r="C326" s="14" t="n">
        <v>9</v>
      </c>
      <c r="D326" s="14" t="s">
        <v>58</v>
      </c>
      <c r="E326" s="15" t="n">
        <v>694457.02</v>
      </c>
      <c r="F326" s="15" t="n">
        <v>274470.91</v>
      </c>
      <c r="G326" s="16" t="n">
        <f aca="false">ROUND(E326+F326,2)</f>
        <v>968927.93</v>
      </c>
    </row>
    <row r="327" customFormat="false" ht="15" hidden="false" customHeight="false" outlineLevel="0" collapsed="false">
      <c r="A327" s="14" t="s">
        <v>15</v>
      </c>
      <c r="B327" s="14" t="n">
        <v>2025</v>
      </c>
      <c r="C327" s="14" t="n">
        <v>10</v>
      </c>
      <c r="D327" s="14" t="s">
        <v>59</v>
      </c>
      <c r="E327" s="15" t="n">
        <v>832147</v>
      </c>
      <c r="F327" s="15" t="n">
        <v>400065.85</v>
      </c>
      <c r="G327" s="16" t="n">
        <f aca="false">ROUND(E327+F327,2)</f>
        <v>1232212.85</v>
      </c>
    </row>
    <row r="328" customFormat="false" ht="15" hidden="false" customHeight="false" outlineLevel="0" collapsed="false">
      <c r="A328" s="14" t="s">
        <v>15</v>
      </c>
      <c r="B328" s="14" t="n">
        <v>2025</v>
      </c>
      <c r="C328" s="14" t="n">
        <v>11</v>
      </c>
      <c r="D328" s="14" t="s">
        <v>60</v>
      </c>
      <c r="E328" s="15" t="n">
        <v>665333.97</v>
      </c>
      <c r="F328" s="15" t="n">
        <v>294320.07</v>
      </c>
      <c r="G328" s="16" t="n">
        <f aca="false">ROUND(E328+F328,2)</f>
        <v>959654.04</v>
      </c>
    </row>
    <row r="329" customFormat="false" ht="15" hidden="false" customHeight="false" outlineLevel="0" collapsed="false">
      <c r="A329" s="14" t="s">
        <v>15</v>
      </c>
      <c r="B329" s="14" t="n">
        <v>2025</v>
      </c>
      <c r="C329" s="14" t="n">
        <v>12</v>
      </c>
      <c r="D329" s="14" t="s">
        <v>61</v>
      </c>
      <c r="E329" s="15" t="n">
        <v>787723.88</v>
      </c>
      <c r="F329" s="15" t="n">
        <v>295428.89</v>
      </c>
      <c r="G329" s="16" t="n">
        <f aca="false">ROUND(E329+F329,2)</f>
        <v>1083152.77</v>
      </c>
    </row>
    <row r="330" customFormat="false" ht="15" hidden="false" customHeight="false" outlineLevel="0" collapsed="false">
      <c r="A330" s="14" t="s">
        <v>15</v>
      </c>
      <c r="B330" s="14" t="n">
        <v>2026</v>
      </c>
      <c r="C330" s="14" t="n">
        <v>1</v>
      </c>
      <c r="D330" s="14" t="s">
        <v>50</v>
      </c>
      <c r="E330" s="15" t="n">
        <v>756387.96</v>
      </c>
      <c r="F330" s="15" t="n">
        <v>329503.49</v>
      </c>
      <c r="G330" s="16" t="n">
        <f aca="false">ROUND(E330+F330,2)</f>
        <v>1085891.45</v>
      </c>
    </row>
    <row r="331" customFormat="false" ht="15" hidden="false" customHeight="false" outlineLevel="0" collapsed="false">
      <c r="A331" s="14" t="s">
        <v>15</v>
      </c>
      <c r="B331" s="14" t="n">
        <v>2026</v>
      </c>
      <c r="C331" s="14" t="n">
        <v>2</v>
      </c>
      <c r="D331" s="14" t="s">
        <v>51</v>
      </c>
      <c r="E331" s="15" t="n">
        <v>660468.79</v>
      </c>
      <c r="F331" s="15" t="n">
        <v>348356.24</v>
      </c>
      <c r="G331" s="16" t="n">
        <f aca="false">ROUND(E331+F331,2)</f>
        <v>1008825.03</v>
      </c>
    </row>
    <row r="332" customFormat="false" ht="15" hidden="false" customHeight="false" outlineLevel="0" collapsed="false">
      <c r="A332" s="14" t="s">
        <v>15</v>
      </c>
      <c r="B332" s="14" t="n">
        <v>2026</v>
      </c>
      <c r="C332" s="14" t="n">
        <v>3</v>
      </c>
      <c r="D332" s="14" t="s">
        <v>52</v>
      </c>
      <c r="E332" s="15" t="n">
        <v>743507</v>
      </c>
      <c r="F332" s="15" t="n">
        <v>317317.02</v>
      </c>
      <c r="G332" s="16" t="n">
        <f aca="false">ROUND(E332+F332,2)</f>
        <v>1060824.02</v>
      </c>
    </row>
    <row r="333" customFormat="false" ht="15" hidden="false" customHeight="false" outlineLevel="0" collapsed="false">
      <c r="A333" s="14" t="s">
        <v>15</v>
      </c>
      <c r="B333" s="14" t="n">
        <v>2026</v>
      </c>
      <c r="C333" s="14" t="n">
        <v>4</v>
      </c>
      <c r="D333" s="14" t="s">
        <v>53</v>
      </c>
      <c r="E333" s="15" t="n">
        <v>830556.1</v>
      </c>
      <c r="F333" s="15" t="n">
        <v>377563.15</v>
      </c>
      <c r="G333" s="16" t="n">
        <f aca="false">ROUND(E333+F333,2)</f>
        <v>1208119.25</v>
      </c>
    </row>
    <row r="334" customFormat="false" ht="15" hidden="false" customHeight="false" outlineLevel="0" collapsed="false">
      <c r="A334" s="14" t="s">
        <v>15</v>
      </c>
      <c r="B334" s="14" t="n">
        <v>2026</v>
      </c>
      <c r="C334" s="14" t="n">
        <v>5</v>
      </c>
      <c r="D334" s="14" t="s">
        <v>54</v>
      </c>
      <c r="E334" s="15" t="n">
        <v>640435.19</v>
      </c>
      <c r="F334" s="15" t="n">
        <v>339869.98</v>
      </c>
      <c r="G334" s="16" t="n">
        <f aca="false">ROUND(E334+F334,2)</f>
        <v>980305.17</v>
      </c>
    </row>
    <row r="335" customFormat="false" ht="15" hidden="false" customHeight="false" outlineLevel="0" collapsed="false">
      <c r="A335" s="14" t="s">
        <v>15</v>
      </c>
      <c r="B335" s="14" t="n">
        <v>2026</v>
      </c>
      <c r="C335" s="14" t="n">
        <v>6</v>
      </c>
      <c r="D335" s="14" t="s">
        <v>55</v>
      </c>
      <c r="E335" s="15" t="n">
        <v>705046.78</v>
      </c>
      <c r="F335" s="15" t="n">
        <v>330694.3</v>
      </c>
      <c r="G335" s="16" t="n">
        <f aca="false">ROUND(E335+F335,2)</f>
        <v>1035741.08</v>
      </c>
    </row>
    <row r="336" customFormat="false" ht="15" hidden="false" customHeight="false" outlineLevel="0" collapsed="false">
      <c r="A336" s="14" t="s">
        <v>15</v>
      </c>
      <c r="B336" s="14" t="n">
        <v>2026</v>
      </c>
      <c r="C336" s="14" t="n">
        <v>7</v>
      </c>
      <c r="D336" s="14" t="s">
        <v>56</v>
      </c>
      <c r="E336" s="15" t="n">
        <v>715570.52</v>
      </c>
      <c r="F336" s="15" t="n">
        <v>375385.77</v>
      </c>
      <c r="G336" s="16" t="n">
        <f aca="false">ROUND(E336+F336,2)</f>
        <v>1090956.29</v>
      </c>
    </row>
    <row r="337" customFormat="false" ht="15" hidden="false" customHeight="false" outlineLevel="0" collapsed="false">
      <c r="A337" s="14" t="s">
        <v>30</v>
      </c>
      <c r="B337" s="14" t="n">
        <v>2021</v>
      </c>
      <c r="C337" s="14" t="n">
        <v>1</v>
      </c>
      <c r="D337" s="14" t="s">
        <v>50</v>
      </c>
      <c r="E337" s="15" t="n">
        <v>166068.24</v>
      </c>
      <c r="F337" s="15" t="n">
        <v>108624.6</v>
      </c>
      <c r="G337" s="16" t="n">
        <f aca="false">ROUND(E337+F337,2)</f>
        <v>274692.84</v>
      </c>
    </row>
    <row r="338" customFormat="false" ht="15" hidden="false" customHeight="false" outlineLevel="0" collapsed="false">
      <c r="A338" s="14" t="s">
        <v>30</v>
      </c>
      <c r="B338" s="14" t="n">
        <v>2021</v>
      </c>
      <c r="C338" s="14" t="n">
        <v>2</v>
      </c>
      <c r="D338" s="14" t="s">
        <v>51</v>
      </c>
      <c r="E338" s="15" t="n">
        <v>163338.53</v>
      </c>
      <c r="F338" s="15" t="n">
        <v>116998.75</v>
      </c>
      <c r="G338" s="16" t="n">
        <f aca="false">ROUND(E338+F338,2)</f>
        <v>280337.28</v>
      </c>
    </row>
    <row r="339" customFormat="false" ht="15" hidden="false" customHeight="false" outlineLevel="0" collapsed="false">
      <c r="A339" s="14" t="s">
        <v>30</v>
      </c>
      <c r="B339" s="14" t="n">
        <v>2021</v>
      </c>
      <c r="C339" s="14" t="n">
        <v>3</v>
      </c>
      <c r="D339" s="14" t="s">
        <v>52</v>
      </c>
      <c r="E339" s="15" t="n">
        <v>190749.26</v>
      </c>
      <c r="F339" s="15" t="n">
        <v>130688.1</v>
      </c>
      <c r="G339" s="16" t="n">
        <f aca="false">ROUND(E339+F339,2)</f>
        <v>321437.36</v>
      </c>
    </row>
    <row r="340" customFormat="false" ht="15" hidden="false" customHeight="false" outlineLevel="0" collapsed="false">
      <c r="A340" s="14" t="s">
        <v>30</v>
      </c>
      <c r="B340" s="14" t="n">
        <v>2021</v>
      </c>
      <c r="C340" s="14" t="n">
        <v>4</v>
      </c>
      <c r="D340" s="14" t="s">
        <v>53</v>
      </c>
      <c r="E340" s="15" t="n">
        <v>205948.47</v>
      </c>
      <c r="F340" s="15" t="n">
        <v>151765.28</v>
      </c>
      <c r="G340" s="16" t="n">
        <f aca="false">ROUND(E340+F340,2)</f>
        <v>357713.75</v>
      </c>
    </row>
    <row r="341" customFormat="false" ht="15" hidden="false" customHeight="false" outlineLevel="0" collapsed="false">
      <c r="A341" s="14" t="s">
        <v>30</v>
      </c>
      <c r="B341" s="14" t="n">
        <v>2021</v>
      </c>
      <c r="C341" s="14" t="n">
        <v>5</v>
      </c>
      <c r="D341" s="14" t="s">
        <v>54</v>
      </c>
      <c r="E341" s="15" t="n">
        <v>174902.73</v>
      </c>
      <c r="F341" s="15" t="n">
        <v>118991.21</v>
      </c>
      <c r="G341" s="16" t="n">
        <f aca="false">ROUND(E341+F341,2)</f>
        <v>293893.94</v>
      </c>
    </row>
    <row r="342" customFormat="false" ht="15" hidden="false" customHeight="false" outlineLevel="0" collapsed="false">
      <c r="A342" s="14" t="s">
        <v>30</v>
      </c>
      <c r="B342" s="14" t="n">
        <v>2021</v>
      </c>
      <c r="C342" s="14" t="n">
        <v>6</v>
      </c>
      <c r="D342" s="14" t="s">
        <v>55</v>
      </c>
      <c r="E342" s="15" t="n">
        <v>216664.96</v>
      </c>
      <c r="F342" s="15" t="n">
        <v>144705.71</v>
      </c>
      <c r="G342" s="16" t="n">
        <f aca="false">ROUND(E342+F342,2)</f>
        <v>361370.67</v>
      </c>
    </row>
    <row r="343" customFormat="false" ht="15" hidden="false" customHeight="false" outlineLevel="0" collapsed="false">
      <c r="A343" s="14" t="s">
        <v>30</v>
      </c>
      <c r="B343" s="14" t="n">
        <v>2021</v>
      </c>
      <c r="C343" s="14" t="n">
        <v>7</v>
      </c>
      <c r="D343" s="14" t="s">
        <v>56</v>
      </c>
      <c r="E343" s="15" t="n">
        <v>212216.41</v>
      </c>
      <c r="F343" s="15" t="n">
        <v>163030.27</v>
      </c>
      <c r="G343" s="16" t="n">
        <f aca="false">ROUND(E343+F343,2)</f>
        <v>375246.68</v>
      </c>
    </row>
    <row r="344" customFormat="false" ht="15" hidden="false" customHeight="false" outlineLevel="0" collapsed="false">
      <c r="A344" s="14" t="s">
        <v>30</v>
      </c>
      <c r="B344" s="14" t="n">
        <v>2021</v>
      </c>
      <c r="C344" s="14" t="n">
        <v>8</v>
      </c>
      <c r="D344" s="14" t="s">
        <v>57</v>
      </c>
      <c r="E344" s="15" t="n">
        <v>196315.76</v>
      </c>
      <c r="F344" s="15" t="n">
        <v>125840.43</v>
      </c>
      <c r="G344" s="16" t="n">
        <f aca="false">ROUND(E344+F344,2)</f>
        <v>322156.19</v>
      </c>
    </row>
    <row r="345" customFormat="false" ht="15" hidden="false" customHeight="false" outlineLevel="0" collapsed="false">
      <c r="A345" s="14" t="s">
        <v>30</v>
      </c>
      <c r="B345" s="14" t="n">
        <v>2021</v>
      </c>
      <c r="C345" s="14" t="n">
        <v>9</v>
      </c>
      <c r="D345" s="14" t="s">
        <v>58</v>
      </c>
      <c r="E345" s="15" t="n">
        <v>186484.75</v>
      </c>
      <c r="F345" s="15" t="n">
        <v>135462.41</v>
      </c>
      <c r="G345" s="16" t="n">
        <f aca="false">ROUND(E345+F345,2)</f>
        <v>321947.16</v>
      </c>
    </row>
    <row r="346" customFormat="false" ht="15" hidden="false" customHeight="false" outlineLevel="0" collapsed="false">
      <c r="A346" s="14" t="s">
        <v>30</v>
      </c>
      <c r="B346" s="14" t="n">
        <v>2021</v>
      </c>
      <c r="C346" s="14" t="n">
        <v>10</v>
      </c>
      <c r="D346" s="14" t="s">
        <v>59</v>
      </c>
      <c r="E346" s="15" t="n">
        <v>197172.56</v>
      </c>
      <c r="F346" s="15" t="n">
        <v>191146.29</v>
      </c>
      <c r="G346" s="16" t="n">
        <f aca="false">ROUND(E346+F346,2)</f>
        <v>388318.85</v>
      </c>
    </row>
    <row r="347" customFormat="false" ht="15" hidden="false" customHeight="false" outlineLevel="0" collapsed="false">
      <c r="A347" s="14" t="s">
        <v>30</v>
      </c>
      <c r="B347" s="14" t="n">
        <v>2021</v>
      </c>
      <c r="C347" s="14" t="n">
        <v>11</v>
      </c>
      <c r="D347" s="14" t="s">
        <v>60</v>
      </c>
      <c r="E347" s="15" t="n">
        <v>178093.52</v>
      </c>
      <c r="F347" s="15" t="n">
        <v>125665.31</v>
      </c>
      <c r="G347" s="16" t="n">
        <f aca="false">ROUND(E347+F347,2)</f>
        <v>303758.83</v>
      </c>
    </row>
    <row r="348" customFormat="false" ht="15" hidden="false" customHeight="false" outlineLevel="0" collapsed="false">
      <c r="A348" s="14" t="s">
        <v>30</v>
      </c>
      <c r="B348" s="14" t="n">
        <v>2021</v>
      </c>
      <c r="C348" s="14" t="n">
        <v>12</v>
      </c>
      <c r="D348" s="14" t="s">
        <v>61</v>
      </c>
      <c r="E348" s="15" t="n">
        <v>188301.06</v>
      </c>
      <c r="F348" s="15" t="n">
        <v>144529.58</v>
      </c>
      <c r="G348" s="16" t="n">
        <f aca="false">ROUND(E348+F348,2)</f>
        <v>332830.64</v>
      </c>
    </row>
    <row r="349" customFormat="false" ht="15" hidden="false" customHeight="false" outlineLevel="0" collapsed="false">
      <c r="A349" s="14" t="s">
        <v>30</v>
      </c>
      <c r="B349" s="14" t="n">
        <v>2022</v>
      </c>
      <c r="C349" s="14" t="n">
        <v>1</v>
      </c>
      <c r="D349" s="14" t="s">
        <v>50</v>
      </c>
      <c r="E349" s="15" t="n">
        <v>180302.51</v>
      </c>
      <c r="F349" s="15" t="n">
        <v>139596.48</v>
      </c>
      <c r="G349" s="16" t="n">
        <f aca="false">ROUND(E349+F349,2)</f>
        <v>319898.99</v>
      </c>
    </row>
    <row r="350" customFormat="false" ht="15" hidden="false" customHeight="false" outlineLevel="0" collapsed="false">
      <c r="A350" s="14" t="s">
        <v>30</v>
      </c>
      <c r="B350" s="14" t="n">
        <v>2022</v>
      </c>
      <c r="C350" s="14" t="n">
        <v>2</v>
      </c>
      <c r="D350" s="14" t="s">
        <v>51</v>
      </c>
      <c r="E350" s="15" t="n">
        <v>187219.57</v>
      </c>
      <c r="F350" s="15" t="n">
        <v>121417.84</v>
      </c>
      <c r="G350" s="16" t="n">
        <f aca="false">ROUND(E350+F350,2)</f>
        <v>308637.41</v>
      </c>
    </row>
    <row r="351" customFormat="false" ht="15" hidden="false" customHeight="false" outlineLevel="0" collapsed="false">
      <c r="A351" s="14" t="s">
        <v>30</v>
      </c>
      <c r="B351" s="14" t="n">
        <v>2022</v>
      </c>
      <c r="C351" s="14" t="n">
        <v>3</v>
      </c>
      <c r="D351" s="14" t="s">
        <v>52</v>
      </c>
      <c r="E351" s="15" t="n">
        <v>205878.91</v>
      </c>
      <c r="F351" s="15" t="n">
        <v>163678.14</v>
      </c>
      <c r="G351" s="16" t="n">
        <f aca="false">ROUND(E351+F351,2)</f>
        <v>369557.05</v>
      </c>
    </row>
    <row r="352" customFormat="false" ht="15" hidden="false" customHeight="false" outlineLevel="0" collapsed="false">
      <c r="A352" s="14" t="s">
        <v>30</v>
      </c>
      <c r="B352" s="14" t="n">
        <v>2022</v>
      </c>
      <c r="C352" s="14" t="n">
        <v>4</v>
      </c>
      <c r="D352" s="14" t="s">
        <v>53</v>
      </c>
      <c r="E352" s="15" t="n">
        <v>185260.72</v>
      </c>
      <c r="F352" s="15" t="n">
        <v>148145.5</v>
      </c>
      <c r="G352" s="16" t="n">
        <f aca="false">ROUND(E352+F352,2)</f>
        <v>333406.22</v>
      </c>
    </row>
    <row r="353" customFormat="false" ht="15" hidden="false" customHeight="false" outlineLevel="0" collapsed="false">
      <c r="A353" s="14" t="s">
        <v>30</v>
      </c>
      <c r="B353" s="14" t="n">
        <v>2022</v>
      </c>
      <c r="C353" s="14" t="n">
        <v>5</v>
      </c>
      <c r="D353" s="14" t="s">
        <v>54</v>
      </c>
      <c r="E353" s="15" t="n">
        <v>161751.54</v>
      </c>
      <c r="F353" s="15" t="n">
        <v>123699.57</v>
      </c>
      <c r="G353" s="16" t="n">
        <f aca="false">ROUND(E353+F353,2)</f>
        <v>285451.11</v>
      </c>
    </row>
    <row r="354" customFormat="false" ht="15" hidden="false" customHeight="false" outlineLevel="0" collapsed="false">
      <c r="A354" s="14" t="s">
        <v>30</v>
      </c>
      <c r="B354" s="14" t="n">
        <v>2022</v>
      </c>
      <c r="C354" s="14" t="n">
        <v>6</v>
      </c>
      <c r="D354" s="14" t="s">
        <v>55</v>
      </c>
      <c r="E354" s="15" t="n">
        <v>206601.39</v>
      </c>
      <c r="F354" s="15" t="n">
        <v>163280.64</v>
      </c>
      <c r="G354" s="16" t="n">
        <f aca="false">ROUND(E354+F354,2)</f>
        <v>369882.03</v>
      </c>
    </row>
    <row r="355" customFormat="false" ht="15" hidden="false" customHeight="false" outlineLevel="0" collapsed="false">
      <c r="A355" s="14" t="s">
        <v>30</v>
      </c>
      <c r="B355" s="14" t="n">
        <v>2022</v>
      </c>
      <c r="C355" s="14" t="n">
        <v>7</v>
      </c>
      <c r="D355" s="14" t="s">
        <v>56</v>
      </c>
      <c r="E355" s="15" t="n">
        <v>161857.02</v>
      </c>
      <c r="F355" s="15" t="n">
        <v>117111.78</v>
      </c>
      <c r="G355" s="16" t="n">
        <f aca="false">ROUND(E355+F355,2)</f>
        <v>278968.8</v>
      </c>
    </row>
    <row r="356" customFormat="false" ht="15" hidden="false" customHeight="false" outlineLevel="0" collapsed="false">
      <c r="A356" s="14" t="s">
        <v>30</v>
      </c>
      <c r="B356" s="14" t="n">
        <v>2022</v>
      </c>
      <c r="C356" s="14" t="n">
        <v>8</v>
      </c>
      <c r="D356" s="14" t="s">
        <v>57</v>
      </c>
      <c r="E356" s="15" t="n">
        <v>204838.33</v>
      </c>
      <c r="F356" s="15" t="n">
        <v>147651.88</v>
      </c>
      <c r="G356" s="16" t="n">
        <f aca="false">ROUND(E356+F356,2)</f>
        <v>352490.21</v>
      </c>
    </row>
    <row r="357" customFormat="false" ht="15" hidden="false" customHeight="false" outlineLevel="0" collapsed="false">
      <c r="A357" s="14" t="s">
        <v>30</v>
      </c>
      <c r="B357" s="14" t="n">
        <v>2022</v>
      </c>
      <c r="C357" s="14" t="n">
        <v>9</v>
      </c>
      <c r="D357" s="14" t="s">
        <v>58</v>
      </c>
      <c r="E357" s="15" t="n">
        <v>185056.41</v>
      </c>
      <c r="F357" s="15" t="n">
        <v>131292.63</v>
      </c>
      <c r="G357" s="16" t="n">
        <f aca="false">ROUND(E357+F357,2)</f>
        <v>316349.04</v>
      </c>
    </row>
    <row r="358" customFormat="false" ht="15" hidden="false" customHeight="false" outlineLevel="0" collapsed="false">
      <c r="A358" s="14" t="s">
        <v>30</v>
      </c>
      <c r="B358" s="14" t="n">
        <v>2022</v>
      </c>
      <c r="C358" s="14" t="n">
        <v>10</v>
      </c>
      <c r="D358" s="14" t="s">
        <v>59</v>
      </c>
      <c r="E358" s="15" t="n">
        <v>168507.54</v>
      </c>
      <c r="F358" s="15" t="n">
        <v>130995.63</v>
      </c>
      <c r="G358" s="16" t="n">
        <f aca="false">ROUND(E358+F358,2)</f>
        <v>299503.17</v>
      </c>
    </row>
    <row r="359" customFormat="false" ht="15" hidden="false" customHeight="false" outlineLevel="0" collapsed="false">
      <c r="A359" s="14" t="s">
        <v>30</v>
      </c>
      <c r="B359" s="14" t="n">
        <v>2022</v>
      </c>
      <c r="C359" s="14" t="n">
        <v>11</v>
      </c>
      <c r="D359" s="14" t="s">
        <v>60</v>
      </c>
      <c r="E359" s="15" t="n">
        <v>170883.79</v>
      </c>
      <c r="F359" s="15" t="n">
        <v>166746.66</v>
      </c>
      <c r="G359" s="16" t="n">
        <f aca="false">ROUND(E359+F359,2)</f>
        <v>337630.45</v>
      </c>
    </row>
    <row r="360" customFormat="false" ht="15" hidden="false" customHeight="false" outlineLevel="0" collapsed="false">
      <c r="A360" s="14" t="s">
        <v>30</v>
      </c>
      <c r="B360" s="14" t="n">
        <v>2022</v>
      </c>
      <c r="C360" s="14" t="n">
        <v>12</v>
      </c>
      <c r="D360" s="14" t="s">
        <v>61</v>
      </c>
      <c r="E360" s="15" t="n">
        <v>155696.19</v>
      </c>
      <c r="F360" s="15" t="n">
        <v>111727.94</v>
      </c>
      <c r="G360" s="16" t="n">
        <f aca="false">ROUND(E360+F360,2)</f>
        <v>267424.13</v>
      </c>
    </row>
    <row r="361" customFormat="false" ht="15" hidden="false" customHeight="false" outlineLevel="0" collapsed="false">
      <c r="A361" s="14" t="s">
        <v>30</v>
      </c>
      <c r="B361" s="14" t="n">
        <v>2023</v>
      </c>
      <c r="C361" s="14" t="n">
        <v>1</v>
      </c>
      <c r="D361" s="14" t="s">
        <v>50</v>
      </c>
      <c r="E361" s="15" t="n">
        <v>180387.8</v>
      </c>
      <c r="F361" s="15" t="n">
        <v>131825.68</v>
      </c>
      <c r="G361" s="16" t="n">
        <f aca="false">ROUND(E361+F361,2)</f>
        <v>312213.48</v>
      </c>
    </row>
    <row r="362" customFormat="false" ht="15" hidden="false" customHeight="false" outlineLevel="0" collapsed="false">
      <c r="A362" s="14" t="s">
        <v>30</v>
      </c>
      <c r="B362" s="14" t="n">
        <v>2023</v>
      </c>
      <c r="C362" s="14" t="n">
        <v>2</v>
      </c>
      <c r="D362" s="14" t="s">
        <v>51</v>
      </c>
      <c r="E362" s="15" t="n">
        <v>139221.33</v>
      </c>
      <c r="F362" s="15" t="n">
        <v>113638.11</v>
      </c>
      <c r="G362" s="16" t="n">
        <f aca="false">ROUND(E362+F362,2)</f>
        <v>252859.44</v>
      </c>
    </row>
    <row r="363" customFormat="false" ht="15" hidden="false" customHeight="false" outlineLevel="0" collapsed="false">
      <c r="A363" s="14" t="s">
        <v>30</v>
      </c>
      <c r="B363" s="14" t="n">
        <v>2023</v>
      </c>
      <c r="C363" s="14" t="n">
        <v>3</v>
      </c>
      <c r="D363" s="14" t="s">
        <v>52</v>
      </c>
      <c r="E363" s="15" t="n">
        <v>176919.05</v>
      </c>
      <c r="F363" s="15" t="n">
        <v>123672.4</v>
      </c>
      <c r="G363" s="16" t="n">
        <f aca="false">ROUND(E363+F363,2)</f>
        <v>300591.45</v>
      </c>
    </row>
    <row r="364" customFormat="false" ht="15" hidden="false" customHeight="false" outlineLevel="0" collapsed="false">
      <c r="A364" s="14" t="s">
        <v>30</v>
      </c>
      <c r="B364" s="14" t="n">
        <v>2023</v>
      </c>
      <c r="C364" s="14" t="n">
        <v>4</v>
      </c>
      <c r="D364" s="14" t="s">
        <v>53</v>
      </c>
      <c r="E364" s="15" t="n">
        <v>172667.78</v>
      </c>
      <c r="F364" s="15" t="n">
        <v>135613.66</v>
      </c>
      <c r="G364" s="16" t="n">
        <f aca="false">ROUND(E364+F364,2)</f>
        <v>308281.44</v>
      </c>
    </row>
    <row r="365" customFormat="false" ht="15" hidden="false" customHeight="false" outlineLevel="0" collapsed="false">
      <c r="A365" s="14" t="s">
        <v>30</v>
      </c>
      <c r="B365" s="14" t="n">
        <v>2023</v>
      </c>
      <c r="C365" s="14" t="n">
        <v>5</v>
      </c>
      <c r="D365" s="14" t="s">
        <v>54</v>
      </c>
      <c r="E365" s="15" t="n">
        <v>170411.07</v>
      </c>
      <c r="F365" s="15" t="n">
        <v>119441.25</v>
      </c>
      <c r="G365" s="16" t="n">
        <f aca="false">ROUND(E365+F365,2)</f>
        <v>289852.32</v>
      </c>
    </row>
    <row r="366" customFormat="false" ht="15" hidden="false" customHeight="false" outlineLevel="0" collapsed="false">
      <c r="A366" s="14" t="s">
        <v>30</v>
      </c>
      <c r="B366" s="14" t="n">
        <v>2023</v>
      </c>
      <c r="C366" s="14" t="n">
        <v>6</v>
      </c>
      <c r="D366" s="14" t="s">
        <v>55</v>
      </c>
      <c r="E366" s="15" t="n">
        <v>216984.35</v>
      </c>
      <c r="F366" s="15" t="n">
        <v>148395.8</v>
      </c>
      <c r="G366" s="16" t="n">
        <f aca="false">ROUND(E366+F366,2)</f>
        <v>365380.15</v>
      </c>
    </row>
    <row r="367" customFormat="false" ht="15" hidden="false" customHeight="false" outlineLevel="0" collapsed="false">
      <c r="A367" s="14" t="s">
        <v>30</v>
      </c>
      <c r="B367" s="14" t="n">
        <v>2023</v>
      </c>
      <c r="C367" s="14" t="n">
        <v>7</v>
      </c>
      <c r="D367" s="14" t="s">
        <v>56</v>
      </c>
      <c r="E367" s="15" t="n">
        <v>199905.22</v>
      </c>
      <c r="F367" s="15" t="n">
        <v>114660.95</v>
      </c>
      <c r="G367" s="16" t="n">
        <f aca="false">ROUND(E367+F367,2)</f>
        <v>314566.17</v>
      </c>
    </row>
    <row r="368" customFormat="false" ht="15" hidden="false" customHeight="false" outlineLevel="0" collapsed="false">
      <c r="A368" s="14" t="s">
        <v>30</v>
      </c>
      <c r="B368" s="14" t="n">
        <v>2023</v>
      </c>
      <c r="C368" s="14" t="n">
        <v>8</v>
      </c>
      <c r="D368" s="14" t="s">
        <v>57</v>
      </c>
      <c r="E368" s="15" t="n">
        <v>208241.78</v>
      </c>
      <c r="F368" s="15" t="n">
        <v>156942.62</v>
      </c>
      <c r="G368" s="16" t="n">
        <f aca="false">ROUND(E368+F368,2)</f>
        <v>365184.4</v>
      </c>
    </row>
    <row r="369" customFormat="false" ht="15" hidden="false" customHeight="false" outlineLevel="0" collapsed="false">
      <c r="A369" s="14" t="s">
        <v>30</v>
      </c>
      <c r="B369" s="14" t="n">
        <v>2023</v>
      </c>
      <c r="C369" s="14" t="n">
        <v>9</v>
      </c>
      <c r="D369" s="14" t="s">
        <v>58</v>
      </c>
      <c r="E369" s="15" t="n">
        <v>204637.11</v>
      </c>
      <c r="F369" s="15" t="n">
        <v>145369.65</v>
      </c>
      <c r="G369" s="16" t="n">
        <f aca="false">ROUND(E369+F369,2)</f>
        <v>350006.76</v>
      </c>
    </row>
    <row r="370" customFormat="false" ht="15" hidden="false" customHeight="false" outlineLevel="0" collapsed="false">
      <c r="A370" s="14" t="s">
        <v>30</v>
      </c>
      <c r="B370" s="14" t="n">
        <v>2023</v>
      </c>
      <c r="C370" s="14" t="n">
        <v>10</v>
      </c>
      <c r="D370" s="14" t="s">
        <v>59</v>
      </c>
      <c r="E370" s="15" t="n">
        <v>235453.5</v>
      </c>
      <c r="F370" s="15" t="n">
        <v>149761.87</v>
      </c>
      <c r="G370" s="16" t="n">
        <f aca="false">ROUND(E370+F370,2)</f>
        <v>385215.37</v>
      </c>
    </row>
    <row r="371" customFormat="false" ht="15" hidden="false" customHeight="false" outlineLevel="0" collapsed="false">
      <c r="A371" s="14" t="s">
        <v>30</v>
      </c>
      <c r="B371" s="14" t="n">
        <v>2023</v>
      </c>
      <c r="C371" s="14" t="n">
        <v>11</v>
      </c>
      <c r="D371" s="14" t="s">
        <v>60</v>
      </c>
      <c r="E371" s="15" t="n">
        <v>227703.87</v>
      </c>
      <c r="F371" s="15" t="n">
        <v>132577.44</v>
      </c>
      <c r="G371" s="16" t="n">
        <f aca="false">ROUND(E371+F371,2)</f>
        <v>360281.31</v>
      </c>
    </row>
    <row r="372" customFormat="false" ht="15" hidden="false" customHeight="false" outlineLevel="0" collapsed="false">
      <c r="A372" s="14" t="s">
        <v>30</v>
      </c>
      <c r="B372" s="14" t="n">
        <v>2023</v>
      </c>
      <c r="C372" s="14" t="n">
        <v>12</v>
      </c>
      <c r="D372" s="14" t="s">
        <v>61</v>
      </c>
      <c r="E372" s="15" t="n">
        <v>206111.73</v>
      </c>
      <c r="F372" s="15" t="n">
        <v>143163.66</v>
      </c>
      <c r="G372" s="16" t="n">
        <f aca="false">ROUND(E372+F372,2)</f>
        <v>349275.39</v>
      </c>
    </row>
    <row r="373" customFormat="false" ht="15" hidden="false" customHeight="false" outlineLevel="0" collapsed="false">
      <c r="A373" s="14" t="s">
        <v>30</v>
      </c>
      <c r="B373" s="14" t="n">
        <v>2024</v>
      </c>
      <c r="C373" s="14" t="n">
        <v>1</v>
      </c>
      <c r="D373" s="14" t="s">
        <v>50</v>
      </c>
      <c r="E373" s="15" t="n">
        <v>242958.2</v>
      </c>
      <c r="F373" s="15" t="n">
        <v>150957.64</v>
      </c>
      <c r="G373" s="16" t="n">
        <f aca="false">ROUND(E373+F373,2)</f>
        <v>393915.84</v>
      </c>
    </row>
    <row r="374" customFormat="false" ht="15" hidden="false" customHeight="false" outlineLevel="0" collapsed="false">
      <c r="A374" s="14" t="s">
        <v>30</v>
      </c>
      <c r="B374" s="14" t="n">
        <v>2024</v>
      </c>
      <c r="C374" s="14" t="n">
        <v>2</v>
      </c>
      <c r="D374" s="14" t="s">
        <v>51</v>
      </c>
      <c r="E374" s="15" t="n">
        <v>263031.67</v>
      </c>
      <c r="F374" s="15" t="n">
        <v>152395.18</v>
      </c>
      <c r="G374" s="16" t="n">
        <f aca="false">ROUND(E374+F374,2)</f>
        <v>415426.85</v>
      </c>
    </row>
    <row r="375" customFormat="false" ht="15" hidden="false" customHeight="false" outlineLevel="0" collapsed="false">
      <c r="A375" s="14" t="s">
        <v>30</v>
      </c>
      <c r="B375" s="14" t="n">
        <v>2024</v>
      </c>
      <c r="C375" s="14" t="n">
        <v>3</v>
      </c>
      <c r="D375" s="14" t="s">
        <v>52</v>
      </c>
      <c r="E375" s="15" t="n">
        <v>265262.12</v>
      </c>
      <c r="F375" s="15" t="n">
        <v>183432.57</v>
      </c>
      <c r="G375" s="16" t="n">
        <f aca="false">ROUND(E375+F375,2)</f>
        <v>448694.69</v>
      </c>
    </row>
    <row r="376" customFormat="false" ht="15" hidden="false" customHeight="false" outlineLevel="0" collapsed="false">
      <c r="A376" s="14" t="s">
        <v>30</v>
      </c>
      <c r="B376" s="14" t="n">
        <v>2024</v>
      </c>
      <c r="C376" s="14" t="n">
        <v>4</v>
      </c>
      <c r="D376" s="14" t="s">
        <v>53</v>
      </c>
      <c r="E376" s="15" t="n">
        <v>244704.21</v>
      </c>
      <c r="F376" s="15" t="n">
        <v>148874.67</v>
      </c>
      <c r="G376" s="16" t="n">
        <f aca="false">ROUND(E376+F376,2)</f>
        <v>393578.88</v>
      </c>
    </row>
    <row r="377" customFormat="false" ht="15" hidden="false" customHeight="false" outlineLevel="0" collapsed="false">
      <c r="A377" s="14" t="s">
        <v>30</v>
      </c>
      <c r="B377" s="14" t="n">
        <v>2024</v>
      </c>
      <c r="C377" s="14" t="n">
        <v>5</v>
      </c>
      <c r="D377" s="14" t="s">
        <v>54</v>
      </c>
      <c r="E377" s="15" t="n">
        <v>227377.99</v>
      </c>
      <c r="F377" s="15" t="n">
        <v>155104.94</v>
      </c>
      <c r="G377" s="16" t="n">
        <f aca="false">ROUND(E377+F377,2)</f>
        <v>382482.93</v>
      </c>
    </row>
    <row r="378" customFormat="false" ht="15" hidden="false" customHeight="false" outlineLevel="0" collapsed="false">
      <c r="A378" s="14" t="s">
        <v>30</v>
      </c>
      <c r="B378" s="14" t="n">
        <v>2024</v>
      </c>
      <c r="C378" s="14" t="n">
        <v>6</v>
      </c>
      <c r="D378" s="14" t="s">
        <v>55</v>
      </c>
      <c r="E378" s="15" t="n">
        <v>86941.7</v>
      </c>
      <c r="F378" s="15" t="n">
        <v>60324.92</v>
      </c>
      <c r="G378" s="16" t="n">
        <f aca="false">ROUND(E378+F378,2)</f>
        <v>147266.62</v>
      </c>
    </row>
    <row r="379" customFormat="false" ht="15" hidden="false" customHeight="false" outlineLevel="0" collapsed="false">
      <c r="A379" s="14" t="s">
        <v>30</v>
      </c>
      <c r="B379" s="14" t="n">
        <v>2024</v>
      </c>
      <c r="C379" s="14" t="n">
        <v>7</v>
      </c>
      <c r="D379" s="14" t="s">
        <v>56</v>
      </c>
      <c r="E379" s="15" t="n">
        <v>246961.37</v>
      </c>
      <c r="F379" s="15" t="n">
        <v>147836</v>
      </c>
      <c r="G379" s="16" t="n">
        <f aca="false">ROUND(E379+F379,2)</f>
        <v>394797.37</v>
      </c>
    </row>
    <row r="380" customFormat="false" ht="15" hidden="false" customHeight="false" outlineLevel="0" collapsed="false">
      <c r="A380" s="14" t="s">
        <v>30</v>
      </c>
      <c r="B380" s="14" t="n">
        <v>2024</v>
      </c>
      <c r="C380" s="14" t="n">
        <v>8</v>
      </c>
      <c r="D380" s="14" t="s">
        <v>57</v>
      </c>
      <c r="E380" s="15" t="n">
        <v>281820.06</v>
      </c>
      <c r="F380" s="15" t="n">
        <v>186431.86</v>
      </c>
      <c r="G380" s="16" t="n">
        <f aca="false">ROUND(E380+F380,2)</f>
        <v>468251.92</v>
      </c>
    </row>
    <row r="381" customFormat="false" ht="15" hidden="false" customHeight="false" outlineLevel="0" collapsed="false">
      <c r="A381" s="14" t="s">
        <v>30</v>
      </c>
      <c r="B381" s="14" t="n">
        <v>2024</v>
      </c>
      <c r="C381" s="14" t="n">
        <v>9</v>
      </c>
      <c r="D381" s="14" t="s">
        <v>58</v>
      </c>
      <c r="E381" s="15" t="n">
        <v>214400.55</v>
      </c>
      <c r="F381" s="15" t="n">
        <v>138509.14</v>
      </c>
      <c r="G381" s="16" t="n">
        <f aca="false">ROUND(E381+F381,2)</f>
        <v>352909.69</v>
      </c>
    </row>
    <row r="382" customFormat="false" ht="15" hidden="false" customHeight="false" outlineLevel="0" collapsed="false">
      <c r="A382" s="14" t="s">
        <v>30</v>
      </c>
      <c r="B382" s="14" t="n">
        <v>2024</v>
      </c>
      <c r="C382" s="14" t="n">
        <v>10</v>
      </c>
      <c r="D382" s="14" t="s">
        <v>59</v>
      </c>
      <c r="E382" s="15" t="n">
        <v>262619.47</v>
      </c>
      <c r="F382" s="15" t="n">
        <v>139434.24</v>
      </c>
      <c r="G382" s="16" t="n">
        <f aca="false">ROUND(E382+F382,2)</f>
        <v>402053.71</v>
      </c>
    </row>
    <row r="383" customFormat="false" ht="15" hidden="false" customHeight="false" outlineLevel="0" collapsed="false">
      <c r="A383" s="14" t="s">
        <v>30</v>
      </c>
      <c r="B383" s="14" t="n">
        <v>2024</v>
      </c>
      <c r="C383" s="14" t="n">
        <v>11</v>
      </c>
      <c r="D383" s="14" t="s">
        <v>60</v>
      </c>
      <c r="E383" s="15" t="n">
        <v>226186.32</v>
      </c>
      <c r="F383" s="15" t="n">
        <v>132026.45</v>
      </c>
      <c r="G383" s="16" t="n">
        <f aca="false">ROUND(E383+F383,2)</f>
        <v>358212.77</v>
      </c>
    </row>
    <row r="384" customFormat="false" ht="15" hidden="false" customHeight="false" outlineLevel="0" collapsed="false">
      <c r="A384" s="14" t="s">
        <v>30</v>
      </c>
      <c r="B384" s="14" t="n">
        <v>2024</v>
      </c>
      <c r="C384" s="14" t="n">
        <v>12</v>
      </c>
      <c r="D384" s="14" t="s">
        <v>61</v>
      </c>
      <c r="E384" s="15" t="n">
        <v>201743.82</v>
      </c>
      <c r="F384" s="15" t="n">
        <v>145703.39</v>
      </c>
      <c r="G384" s="16" t="n">
        <f aca="false">ROUND(E384+F384,2)</f>
        <v>347447.21</v>
      </c>
    </row>
    <row r="385" customFormat="false" ht="15" hidden="false" customHeight="false" outlineLevel="0" collapsed="false">
      <c r="A385" s="14" t="s">
        <v>30</v>
      </c>
      <c r="B385" s="14" t="n">
        <v>2025</v>
      </c>
      <c r="C385" s="14" t="n">
        <v>1</v>
      </c>
      <c r="D385" s="14" t="s">
        <v>50</v>
      </c>
      <c r="E385" s="15" t="n">
        <v>249691.14</v>
      </c>
      <c r="F385" s="15" t="n">
        <v>165373.29</v>
      </c>
      <c r="G385" s="16" t="n">
        <f aca="false">ROUND(E385+F385,2)</f>
        <v>415064.43</v>
      </c>
    </row>
    <row r="386" customFormat="false" ht="15" hidden="false" customHeight="false" outlineLevel="0" collapsed="false">
      <c r="A386" s="14" t="s">
        <v>30</v>
      </c>
      <c r="B386" s="14" t="n">
        <v>2025</v>
      </c>
      <c r="C386" s="14" t="n">
        <v>2</v>
      </c>
      <c r="D386" s="14" t="s">
        <v>51</v>
      </c>
      <c r="E386" s="15" t="n">
        <v>255808.47</v>
      </c>
      <c r="F386" s="15" t="n">
        <v>127959.29</v>
      </c>
      <c r="G386" s="16" t="n">
        <f aca="false">ROUND(E386+F386,2)</f>
        <v>383767.76</v>
      </c>
    </row>
    <row r="387" customFormat="false" ht="15" hidden="false" customHeight="false" outlineLevel="0" collapsed="false">
      <c r="A387" s="14" t="s">
        <v>30</v>
      </c>
      <c r="B387" s="14" t="n">
        <v>2025</v>
      </c>
      <c r="C387" s="14" t="n">
        <v>3</v>
      </c>
      <c r="D387" s="14" t="s">
        <v>52</v>
      </c>
      <c r="E387" s="15" t="n">
        <v>288372.04</v>
      </c>
      <c r="F387" s="15" t="n">
        <v>168950.19</v>
      </c>
      <c r="G387" s="16" t="n">
        <f aca="false">ROUND(E387+F387,2)</f>
        <v>457322.23</v>
      </c>
    </row>
    <row r="388" customFormat="false" ht="15" hidden="false" customHeight="false" outlineLevel="0" collapsed="false">
      <c r="A388" s="14" t="s">
        <v>30</v>
      </c>
      <c r="B388" s="14" t="n">
        <v>2025</v>
      </c>
      <c r="C388" s="14" t="n">
        <v>4</v>
      </c>
      <c r="D388" s="14" t="s">
        <v>53</v>
      </c>
      <c r="E388" s="15" t="n">
        <v>304867.27</v>
      </c>
      <c r="F388" s="15" t="n">
        <v>161259.98</v>
      </c>
      <c r="G388" s="16" t="n">
        <f aca="false">ROUND(E388+F388,2)</f>
        <v>466127.25</v>
      </c>
    </row>
    <row r="389" customFormat="false" ht="15" hidden="false" customHeight="false" outlineLevel="0" collapsed="false">
      <c r="A389" s="14" t="s">
        <v>30</v>
      </c>
      <c r="B389" s="14" t="n">
        <v>2025</v>
      </c>
      <c r="C389" s="14" t="n">
        <v>5</v>
      </c>
      <c r="D389" s="14" t="s">
        <v>54</v>
      </c>
      <c r="E389" s="15" t="n">
        <v>267091.23</v>
      </c>
      <c r="F389" s="15" t="n">
        <v>170584.57</v>
      </c>
      <c r="G389" s="16" t="n">
        <f aca="false">ROUND(E389+F389,2)</f>
        <v>437675.8</v>
      </c>
    </row>
    <row r="390" customFormat="false" ht="15" hidden="false" customHeight="false" outlineLevel="0" collapsed="false">
      <c r="A390" s="14" t="s">
        <v>30</v>
      </c>
      <c r="B390" s="14" t="n">
        <v>2025</v>
      </c>
      <c r="C390" s="14" t="n">
        <v>6</v>
      </c>
      <c r="D390" s="14" t="s">
        <v>55</v>
      </c>
      <c r="E390" s="15" t="n">
        <v>226734.93</v>
      </c>
      <c r="F390" s="15" t="n">
        <v>143951.24</v>
      </c>
      <c r="G390" s="16" t="n">
        <f aca="false">ROUND(E390+F390,2)</f>
        <v>370686.17</v>
      </c>
    </row>
    <row r="391" customFormat="false" ht="15" hidden="false" customHeight="false" outlineLevel="0" collapsed="false">
      <c r="A391" s="14" t="s">
        <v>30</v>
      </c>
      <c r="B391" s="14" t="n">
        <v>2025</v>
      </c>
      <c r="C391" s="14" t="n">
        <v>7</v>
      </c>
      <c r="D391" s="14" t="s">
        <v>56</v>
      </c>
      <c r="E391" s="15" t="n">
        <v>259596.45</v>
      </c>
      <c r="F391" s="15" t="n">
        <v>154984.9</v>
      </c>
      <c r="G391" s="16" t="n">
        <f aca="false">ROUND(E391+F391,2)</f>
        <v>414581.35</v>
      </c>
    </row>
    <row r="392" customFormat="false" ht="15" hidden="false" customHeight="false" outlineLevel="0" collapsed="false">
      <c r="A392" s="14" t="s">
        <v>30</v>
      </c>
      <c r="B392" s="14" t="n">
        <v>2025</v>
      </c>
      <c r="C392" s="14" t="n">
        <v>8</v>
      </c>
      <c r="D392" s="14" t="s">
        <v>57</v>
      </c>
      <c r="E392" s="15" t="n">
        <v>267825.73</v>
      </c>
      <c r="F392" s="15" t="n">
        <v>173262.56</v>
      </c>
      <c r="G392" s="16" t="n">
        <f aca="false">ROUND(E392+F392,2)</f>
        <v>441088.29</v>
      </c>
    </row>
    <row r="393" customFormat="false" ht="15" hidden="false" customHeight="false" outlineLevel="0" collapsed="false">
      <c r="A393" s="14" t="s">
        <v>30</v>
      </c>
      <c r="B393" s="14" t="n">
        <v>2025</v>
      </c>
      <c r="C393" s="14" t="n">
        <v>9</v>
      </c>
      <c r="D393" s="14" t="s">
        <v>58</v>
      </c>
      <c r="E393" s="15" t="n">
        <v>233019.11</v>
      </c>
      <c r="F393" s="15" t="n">
        <v>137460.66</v>
      </c>
      <c r="G393" s="16" t="n">
        <f aca="false">ROUND(E393+F393,2)</f>
        <v>370479.77</v>
      </c>
    </row>
    <row r="394" customFormat="false" ht="15" hidden="false" customHeight="false" outlineLevel="0" collapsed="false">
      <c r="A394" s="14" t="s">
        <v>30</v>
      </c>
      <c r="B394" s="14" t="n">
        <v>2025</v>
      </c>
      <c r="C394" s="14" t="n">
        <v>10</v>
      </c>
      <c r="D394" s="14" t="s">
        <v>59</v>
      </c>
      <c r="E394" s="15" t="n">
        <v>269334.08</v>
      </c>
      <c r="F394" s="15" t="n">
        <v>147690.33</v>
      </c>
      <c r="G394" s="16" t="n">
        <f aca="false">ROUND(E394+F394,2)</f>
        <v>417024.41</v>
      </c>
    </row>
    <row r="395" customFormat="false" ht="15" hidden="false" customHeight="false" outlineLevel="0" collapsed="false">
      <c r="A395" s="14" t="s">
        <v>30</v>
      </c>
      <c r="B395" s="14" t="n">
        <v>2025</v>
      </c>
      <c r="C395" s="14" t="n">
        <v>11</v>
      </c>
      <c r="D395" s="14" t="s">
        <v>60</v>
      </c>
      <c r="E395" s="15" t="n">
        <v>196391.02</v>
      </c>
      <c r="F395" s="15" t="n">
        <v>112896.99</v>
      </c>
      <c r="G395" s="16" t="n">
        <f aca="false">ROUND(E395+F395,2)</f>
        <v>309288.01</v>
      </c>
    </row>
    <row r="396" customFormat="false" ht="15" hidden="false" customHeight="false" outlineLevel="0" collapsed="false">
      <c r="A396" s="14" t="s">
        <v>30</v>
      </c>
      <c r="B396" s="14" t="n">
        <v>2025</v>
      </c>
      <c r="C396" s="14" t="n">
        <v>12</v>
      </c>
      <c r="D396" s="14" t="s">
        <v>61</v>
      </c>
      <c r="E396" s="15" t="n">
        <v>218087.95</v>
      </c>
      <c r="F396" s="15" t="n">
        <v>138683.24</v>
      </c>
      <c r="G396" s="16" t="n">
        <f aca="false">ROUND(E396+F396,2)</f>
        <v>356771.19</v>
      </c>
    </row>
    <row r="397" customFormat="false" ht="15" hidden="false" customHeight="false" outlineLevel="0" collapsed="false">
      <c r="A397" s="14" t="s">
        <v>30</v>
      </c>
      <c r="B397" s="14" t="n">
        <v>2026</v>
      </c>
      <c r="C397" s="14" t="n">
        <v>1</v>
      </c>
      <c r="D397" s="14" t="s">
        <v>50</v>
      </c>
      <c r="E397" s="15" t="n">
        <v>248354.23</v>
      </c>
      <c r="F397" s="15" t="n">
        <v>138082.95</v>
      </c>
      <c r="G397" s="16" t="n">
        <f aca="false">ROUND(E397+F397,2)</f>
        <v>386437.18</v>
      </c>
    </row>
    <row r="398" customFormat="false" ht="15" hidden="false" customHeight="false" outlineLevel="0" collapsed="false">
      <c r="A398" s="14" t="s">
        <v>30</v>
      </c>
      <c r="B398" s="14" t="n">
        <v>2026</v>
      </c>
      <c r="C398" s="14" t="n">
        <v>2</v>
      </c>
      <c r="D398" s="14" t="s">
        <v>51</v>
      </c>
      <c r="E398" s="15" t="n">
        <v>217565.48</v>
      </c>
      <c r="F398" s="15" t="n">
        <v>120267.6</v>
      </c>
      <c r="G398" s="16" t="n">
        <f aca="false">ROUND(E398+F398,2)</f>
        <v>337833.08</v>
      </c>
    </row>
    <row r="399" customFormat="false" ht="15" hidden="false" customHeight="false" outlineLevel="0" collapsed="false">
      <c r="A399" s="14" t="s">
        <v>30</v>
      </c>
      <c r="B399" s="14" t="n">
        <v>2026</v>
      </c>
      <c r="C399" s="14" t="n">
        <v>3</v>
      </c>
      <c r="D399" s="14" t="s">
        <v>52</v>
      </c>
      <c r="E399" s="15" t="n">
        <v>241235.4</v>
      </c>
      <c r="F399" s="15" t="n">
        <v>125680.06</v>
      </c>
      <c r="G399" s="16" t="n">
        <f aca="false">ROUND(E399+F399,2)</f>
        <v>366915.46</v>
      </c>
    </row>
    <row r="400" customFormat="false" ht="15" hidden="false" customHeight="false" outlineLevel="0" collapsed="false">
      <c r="A400" s="14" t="s">
        <v>30</v>
      </c>
      <c r="B400" s="14" t="n">
        <v>2026</v>
      </c>
      <c r="C400" s="14" t="n">
        <v>4</v>
      </c>
      <c r="D400" s="14" t="s">
        <v>53</v>
      </c>
      <c r="E400" s="15" t="n">
        <v>209999.13</v>
      </c>
      <c r="F400" s="15" t="n">
        <v>121752.14</v>
      </c>
      <c r="G400" s="16" t="n">
        <f aca="false">ROUND(E400+F400,2)</f>
        <v>331751.27</v>
      </c>
    </row>
    <row r="401" customFormat="false" ht="15" hidden="false" customHeight="false" outlineLevel="0" collapsed="false">
      <c r="A401" s="14" t="s">
        <v>30</v>
      </c>
      <c r="B401" s="14" t="n">
        <v>2026</v>
      </c>
      <c r="C401" s="14" t="n">
        <v>5</v>
      </c>
      <c r="D401" s="14" t="s">
        <v>54</v>
      </c>
      <c r="E401" s="15" t="n">
        <v>235363.8</v>
      </c>
      <c r="F401" s="15" t="n">
        <v>129888.87</v>
      </c>
      <c r="G401" s="16" t="n">
        <f aca="false">ROUND(E401+F401,2)</f>
        <v>365252.67</v>
      </c>
    </row>
    <row r="402" customFormat="false" ht="15" hidden="false" customHeight="false" outlineLevel="0" collapsed="false">
      <c r="A402" s="14" t="s">
        <v>30</v>
      </c>
      <c r="B402" s="14" t="n">
        <v>2026</v>
      </c>
      <c r="C402" s="14" t="n">
        <v>6</v>
      </c>
      <c r="D402" s="14" t="s">
        <v>55</v>
      </c>
      <c r="E402" s="15" t="n">
        <v>273739.86</v>
      </c>
      <c r="F402" s="15" t="n">
        <v>146756.61</v>
      </c>
      <c r="G402" s="16" t="n">
        <f aca="false">ROUND(E402+F402,2)</f>
        <v>420496.47</v>
      </c>
    </row>
    <row r="403" customFormat="false" ht="15" hidden="false" customHeight="false" outlineLevel="0" collapsed="false">
      <c r="A403" s="14" t="s">
        <v>30</v>
      </c>
      <c r="B403" s="14" t="n">
        <v>2026</v>
      </c>
      <c r="C403" s="14" t="n">
        <v>7</v>
      </c>
      <c r="D403" s="14" t="s">
        <v>56</v>
      </c>
      <c r="E403" s="15" t="n">
        <v>311914.99</v>
      </c>
      <c r="F403" s="15" t="n">
        <v>169093.82</v>
      </c>
      <c r="G403" s="16" t="n">
        <f aca="false">ROUND(E403+F403,2)</f>
        <v>481008.81</v>
      </c>
    </row>
    <row r="404" customFormat="false" ht="15" hidden="false" customHeight="false" outlineLevel="0" collapsed="false">
      <c r="A404" s="14" t="s">
        <v>24</v>
      </c>
      <c r="B404" s="14" t="n">
        <v>2021</v>
      </c>
      <c r="C404" s="14" t="n">
        <v>1</v>
      </c>
      <c r="D404" s="14" t="s">
        <v>50</v>
      </c>
      <c r="E404" s="15" t="n">
        <v>201396.92</v>
      </c>
      <c r="F404" s="15" t="n">
        <v>101637.94</v>
      </c>
      <c r="G404" s="16" t="n">
        <f aca="false">ROUND(E404+F404,2)</f>
        <v>303034.86</v>
      </c>
    </row>
    <row r="405" customFormat="false" ht="15" hidden="false" customHeight="false" outlineLevel="0" collapsed="false">
      <c r="A405" s="14" t="s">
        <v>24</v>
      </c>
      <c r="B405" s="14" t="n">
        <v>2021</v>
      </c>
      <c r="C405" s="14" t="n">
        <v>2</v>
      </c>
      <c r="D405" s="14" t="s">
        <v>51</v>
      </c>
      <c r="E405" s="15" t="n">
        <v>239644.92</v>
      </c>
      <c r="F405" s="15" t="n">
        <v>102343.72</v>
      </c>
      <c r="G405" s="16" t="n">
        <f aca="false">ROUND(E405+F405,2)</f>
        <v>341988.64</v>
      </c>
    </row>
    <row r="406" customFormat="false" ht="15" hidden="false" customHeight="false" outlineLevel="0" collapsed="false">
      <c r="A406" s="14" t="s">
        <v>24</v>
      </c>
      <c r="B406" s="14" t="n">
        <v>2021</v>
      </c>
      <c r="C406" s="14" t="n">
        <v>3</v>
      </c>
      <c r="D406" s="14" t="s">
        <v>52</v>
      </c>
      <c r="E406" s="15" t="n">
        <v>285680.32</v>
      </c>
      <c r="F406" s="15" t="n">
        <v>152739.17</v>
      </c>
      <c r="G406" s="16" t="n">
        <f aca="false">ROUND(E406+F406,2)</f>
        <v>438419.49</v>
      </c>
    </row>
    <row r="407" customFormat="false" ht="15" hidden="false" customHeight="false" outlineLevel="0" collapsed="false">
      <c r="A407" s="14" t="s">
        <v>24</v>
      </c>
      <c r="B407" s="14" t="n">
        <v>2021</v>
      </c>
      <c r="C407" s="14" t="n">
        <v>4</v>
      </c>
      <c r="D407" s="14" t="s">
        <v>53</v>
      </c>
      <c r="E407" s="15" t="n">
        <v>255952.7</v>
      </c>
      <c r="F407" s="15" t="n">
        <v>111412.53</v>
      </c>
      <c r="G407" s="16" t="n">
        <f aca="false">ROUND(E407+F407,2)</f>
        <v>367365.23</v>
      </c>
    </row>
    <row r="408" customFormat="false" ht="15" hidden="false" customHeight="false" outlineLevel="0" collapsed="false">
      <c r="A408" s="14" t="s">
        <v>24</v>
      </c>
      <c r="B408" s="14" t="n">
        <v>2021</v>
      </c>
      <c r="C408" s="14" t="n">
        <v>5</v>
      </c>
      <c r="D408" s="14" t="s">
        <v>54</v>
      </c>
      <c r="E408" s="15" t="n">
        <v>264386.27</v>
      </c>
      <c r="F408" s="15" t="n">
        <v>120858.35</v>
      </c>
      <c r="G408" s="16" t="n">
        <f aca="false">ROUND(E408+F408,2)</f>
        <v>385244.62</v>
      </c>
    </row>
    <row r="409" customFormat="false" ht="15" hidden="false" customHeight="false" outlineLevel="0" collapsed="false">
      <c r="A409" s="14" t="s">
        <v>24</v>
      </c>
      <c r="B409" s="14" t="n">
        <v>2021</v>
      </c>
      <c r="C409" s="14" t="n">
        <v>6</v>
      </c>
      <c r="D409" s="14" t="s">
        <v>55</v>
      </c>
      <c r="E409" s="15" t="n">
        <v>282034.38</v>
      </c>
      <c r="F409" s="15" t="n">
        <v>128559.59</v>
      </c>
      <c r="G409" s="16" t="n">
        <f aca="false">ROUND(E409+F409,2)</f>
        <v>410593.97</v>
      </c>
    </row>
    <row r="410" customFormat="false" ht="15" hidden="false" customHeight="false" outlineLevel="0" collapsed="false">
      <c r="A410" s="14" t="s">
        <v>24</v>
      </c>
      <c r="B410" s="14" t="n">
        <v>2021</v>
      </c>
      <c r="C410" s="14" t="n">
        <v>7</v>
      </c>
      <c r="D410" s="14" t="s">
        <v>56</v>
      </c>
      <c r="E410" s="15" t="n">
        <v>273853.9</v>
      </c>
      <c r="F410" s="15" t="n">
        <v>114436.11</v>
      </c>
      <c r="G410" s="16" t="n">
        <f aca="false">ROUND(E410+F410,2)</f>
        <v>388290.01</v>
      </c>
    </row>
    <row r="411" customFormat="false" ht="15" hidden="false" customHeight="false" outlineLevel="0" collapsed="false">
      <c r="A411" s="14" t="s">
        <v>24</v>
      </c>
      <c r="B411" s="14" t="n">
        <v>2021</v>
      </c>
      <c r="C411" s="14" t="n">
        <v>8</v>
      </c>
      <c r="D411" s="14" t="s">
        <v>57</v>
      </c>
      <c r="E411" s="15" t="n">
        <v>219224.84</v>
      </c>
      <c r="F411" s="15" t="n">
        <v>109275.35</v>
      </c>
      <c r="G411" s="16" t="n">
        <f aca="false">ROUND(E411+F411,2)</f>
        <v>328500.19</v>
      </c>
    </row>
    <row r="412" customFormat="false" ht="15" hidden="false" customHeight="false" outlineLevel="0" collapsed="false">
      <c r="A412" s="14" t="s">
        <v>24</v>
      </c>
      <c r="B412" s="14" t="n">
        <v>2021</v>
      </c>
      <c r="C412" s="14" t="n">
        <v>9</v>
      </c>
      <c r="D412" s="14" t="s">
        <v>58</v>
      </c>
      <c r="E412" s="15" t="n">
        <v>251467.13</v>
      </c>
      <c r="F412" s="15" t="n">
        <v>114097.59</v>
      </c>
      <c r="G412" s="16" t="n">
        <f aca="false">ROUND(E412+F412,2)</f>
        <v>365564.72</v>
      </c>
    </row>
    <row r="413" customFormat="false" ht="15" hidden="false" customHeight="false" outlineLevel="0" collapsed="false">
      <c r="A413" s="14" t="s">
        <v>24</v>
      </c>
      <c r="B413" s="14" t="n">
        <v>2021</v>
      </c>
      <c r="C413" s="14" t="n">
        <v>10</v>
      </c>
      <c r="D413" s="14" t="s">
        <v>59</v>
      </c>
      <c r="E413" s="15" t="n">
        <v>238028.24</v>
      </c>
      <c r="F413" s="15" t="n">
        <v>108630.84</v>
      </c>
      <c r="G413" s="16" t="n">
        <f aca="false">ROUND(E413+F413,2)</f>
        <v>346659.08</v>
      </c>
    </row>
    <row r="414" customFormat="false" ht="15" hidden="false" customHeight="false" outlineLevel="0" collapsed="false">
      <c r="A414" s="14" t="s">
        <v>24</v>
      </c>
      <c r="B414" s="14" t="n">
        <v>2021</v>
      </c>
      <c r="C414" s="14" t="n">
        <v>11</v>
      </c>
      <c r="D414" s="14" t="s">
        <v>60</v>
      </c>
      <c r="E414" s="15" t="n">
        <v>243896.96</v>
      </c>
      <c r="F414" s="15" t="n">
        <v>104346.71</v>
      </c>
      <c r="G414" s="16" t="n">
        <f aca="false">ROUND(E414+F414,2)</f>
        <v>348243.67</v>
      </c>
    </row>
    <row r="415" customFormat="false" ht="15" hidden="false" customHeight="false" outlineLevel="0" collapsed="false">
      <c r="A415" s="14" t="s">
        <v>24</v>
      </c>
      <c r="B415" s="14" t="n">
        <v>2021</v>
      </c>
      <c r="C415" s="14" t="n">
        <v>12</v>
      </c>
      <c r="D415" s="14" t="s">
        <v>61</v>
      </c>
      <c r="E415" s="15" t="n">
        <v>282612.87</v>
      </c>
      <c r="F415" s="15" t="n">
        <v>115385.24</v>
      </c>
      <c r="G415" s="16" t="n">
        <f aca="false">ROUND(E415+F415,2)</f>
        <v>397998.11</v>
      </c>
    </row>
    <row r="416" customFormat="false" ht="15" hidden="false" customHeight="false" outlineLevel="0" collapsed="false">
      <c r="A416" s="14" t="s">
        <v>24</v>
      </c>
      <c r="B416" s="14" t="n">
        <v>2022</v>
      </c>
      <c r="C416" s="14" t="n">
        <v>1</v>
      </c>
      <c r="D416" s="14" t="s">
        <v>50</v>
      </c>
      <c r="E416" s="15" t="n">
        <v>264501.5</v>
      </c>
      <c r="F416" s="15" t="n">
        <v>106147.13</v>
      </c>
      <c r="G416" s="16" t="n">
        <f aca="false">ROUND(E416+F416,2)</f>
        <v>370648.63</v>
      </c>
    </row>
    <row r="417" customFormat="false" ht="15" hidden="false" customHeight="false" outlineLevel="0" collapsed="false">
      <c r="A417" s="14" t="s">
        <v>24</v>
      </c>
      <c r="B417" s="14" t="n">
        <v>2022</v>
      </c>
      <c r="C417" s="14" t="n">
        <v>2</v>
      </c>
      <c r="D417" s="14" t="s">
        <v>51</v>
      </c>
      <c r="E417" s="15" t="n">
        <v>301927.9</v>
      </c>
      <c r="F417" s="15" t="n">
        <v>130246.84</v>
      </c>
      <c r="G417" s="16" t="n">
        <f aca="false">ROUND(E417+F417,2)</f>
        <v>432174.74</v>
      </c>
    </row>
    <row r="418" customFormat="false" ht="15" hidden="false" customHeight="false" outlineLevel="0" collapsed="false">
      <c r="A418" s="14" t="s">
        <v>24</v>
      </c>
      <c r="B418" s="14" t="n">
        <v>2022</v>
      </c>
      <c r="C418" s="14" t="n">
        <v>3</v>
      </c>
      <c r="D418" s="14" t="s">
        <v>52</v>
      </c>
      <c r="E418" s="15" t="n">
        <v>332631.33</v>
      </c>
      <c r="F418" s="15" t="n">
        <v>149608.92</v>
      </c>
      <c r="G418" s="16" t="n">
        <f aca="false">ROUND(E418+F418,2)</f>
        <v>482240.25</v>
      </c>
    </row>
    <row r="419" customFormat="false" ht="15" hidden="false" customHeight="false" outlineLevel="0" collapsed="false">
      <c r="A419" s="14" t="s">
        <v>24</v>
      </c>
      <c r="B419" s="14" t="n">
        <v>2022</v>
      </c>
      <c r="C419" s="14" t="n">
        <v>4</v>
      </c>
      <c r="D419" s="14" t="s">
        <v>53</v>
      </c>
      <c r="E419" s="15" t="n">
        <v>280681.75</v>
      </c>
      <c r="F419" s="15" t="n">
        <v>129035.97</v>
      </c>
      <c r="G419" s="16" t="n">
        <f aca="false">ROUND(E419+F419,2)</f>
        <v>409717.72</v>
      </c>
    </row>
    <row r="420" customFormat="false" ht="15" hidden="false" customHeight="false" outlineLevel="0" collapsed="false">
      <c r="A420" s="14" t="s">
        <v>24</v>
      </c>
      <c r="B420" s="14" t="n">
        <v>2022</v>
      </c>
      <c r="C420" s="14" t="n">
        <v>5</v>
      </c>
      <c r="D420" s="14" t="s">
        <v>54</v>
      </c>
      <c r="E420" s="15" t="n">
        <v>275021.02</v>
      </c>
      <c r="F420" s="15" t="n">
        <v>123660.22</v>
      </c>
      <c r="G420" s="16" t="n">
        <f aca="false">ROUND(E420+F420,2)</f>
        <v>398681.24</v>
      </c>
    </row>
    <row r="421" customFormat="false" ht="15" hidden="false" customHeight="false" outlineLevel="0" collapsed="false">
      <c r="A421" s="14" t="s">
        <v>24</v>
      </c>
      <c r="B421" s="14" t="n">
        <v>2022</v>
      </c>
      <c r="C421" s="14" t="n">
        <v>6</v>
      </c>
      <c r="D421" s="14" t="s">
        <v>55</v>
      </c>
      <c r="E421" s="15" t="n">
        <v>289648.07</v>
      </c>
      <c r="F421" s="15" t="n">
        <v>148303.16</v>
      </c>
      <c r="G421" s="16" t="n">
        <f aca="false">ROUND(E421+F421,2)</f>
        <v>437951.23</v>
      </c>
    </row>
    <row r="422" customFormat="false" ht="15" hidden="false" customHeight="false" outlineLevel="0" collapsed="false">
      <c r="A422" s="14" t="s">
        <v>24</v>
      </c>
      <c r="B422" s="14" t="n">
        <v>2022</v>
      </c>
      <c r="C422" s="14" t="n">
        <v>7</v>
      </c>
      <c r="D422" s="14" t="s">
        <v>56</v>
      </c>
      <c r="E422" s="15" t="n">
        <v>293222.82</v>
      </c>
      <c r="F422" s="15" t="n">
        <v>114613.87</v>
      </c>
      <c r="G422" s="16" t="n">
        <f aca="false">ROUND(E422+F422,2)</f>
        <v>407836.69</v>
      </c>
    </row>
    <row r="423" customFormat="false" ht="15" hidden="false" customHeight="false" outlineLevel="0" collapsed="false">
      <c r="A423" s="14" t="s">
        <v>24</v>
      </c>
      <c r="B423" s="14" t="n">
        <v>2022</v>
      </c>
      <c r="C423" s="14" t="n">
        <v>8</v>
      </c>
      <c r="D423" s="14" t="s">
        <v>57</v>
      </c>
      <c r="E423" s="15" t="n">
        <v>302987.42</v>
      </c>
      <c r="F423" s="15" t="n">
        <v>134054</v>
      </c>
      <c r="G423" s="16" t="n">
        <f aca="false">ROUND(E423+F423,2)</f>
        <v>437041.42</v>
      </c>
    </row>
    <row r="424" customFormat="false" ht="15" hidden="false" customHeight="false" outlineLevel="0" collapsed="false">
      <c r="A424" s="14" t="s">
        <v>24</v>
      </c>
      <c r="B424" s="14" t="n">
        <v>2022</v>
      </c>
      <c r="C424" s="14" t="n">
        <v>9</v>
      </c>
      <c r="D424" s="14" t="s">
        <v>58</v>
      </c>
      <c r="E424" s="15" t="n">
        <v>290059.04</v>
      </c>
      <c r="F424" s="15" t="n">
        <v>113597.84</v>
      </c>
      <c r="G424" s="16" t="n">
        <f aca="false">ROUND(E424+F424,2)</f>
        <v>403656.88</v>
      </c>
    </row>
    <row r="425" customFormat="false" ht="15" hidden="false" customHeight="false" outlineLevel="0" collapsed="false">
      <c r="A425" s="14" t="s">
        <v>24</v>
      </c>
      <c r="B425" s="14" t="n">
        <v>2022</v>
      </c>
      <c r="C425" s="14" t="n">
        <v>10</v>
      </c>
      <c r="D425" s="14" t="s">
        <v>59</v>
      </c>
      <c r="E425" s="15" t="n">
        <v>253705.85</v>
      </c>
      <c r="F425" s="15" t="n">
        <v>106436.35</v>
      </c>
      <c r="G425" s="16" t="n">
        <f aca="false">ROUND(E425+F425,2)</f>
        <v>360142.2</v>
      </c>
    </row>
    <row r="426" customFormat="false" ht="15" hidden="false" customHeight="false" outlineLevel="0" collapsed="false">
      <c r="A426" s="14" t="s">
        <v>24</v>
      </c>
      <c r="B426" s="14" t="n">
        <v>2022</v>
      </c>
      <c r="C426" s="14" t="n">
        <v>11</v>
      </c>
      <c r="D426" s="14" t="s">
        <v>60</v>
      </c>
      <c r="E426" s="15" t="n">
        <v>223646.79</v>
      </c>
      <c r="F426" s="15" t="n">
        <v>63375.25</v>
      </c>
      <c r="G426" s="16" t="n">
        <f aca="false">ROUND(E426+F426,2)</f>
        <v>287022.04</v>
      </c>
    </row>
    <row r="427" customFormat="false" ht="15" hidden="false" customHeight="false" outlineLevel="0" collapsed="false">
      <c r="A427" s="14" t="s">
        <v>24</v>
      </c>
      <c r="B427" s="14" t="n">
        <v>2022</v>
      </c>
      <c r="C427" s="14" t="n">
        <v>12</v>
      </c>
      <c r="D427" s="14" t="s">
        <v>61</v>
      </c>
      <c r="E427" s="15" t="n">
        <v>277493.19</v>
      </c>
      <c r="F427" s="15" t="n">
        <v>105472.19</v>
      </c>
      <c r="G427" s="16" t="n">
        <f aca="false">ROUND(E427+F427,2)</f>
        <v>382965.38</v>
      </c>
    </row>
    <row r="428" customFormat="false" ht="15" hidden="false" customHeight="false" outlineLevel="0" collapsed="false">
      <c r="A428" s="14" t="s">
        <v>24</v>
      </c>
      <c r="B428" s="14" t="n">
        <v>2023</v>
      </c>
      <c r="C428" s="14" t="n">
        <v>1</v>
      </c>
      <c r="D428" s="14" t="s">
        <v>50</v>
      </c>
      <c r="E428" s="15" t="n">
        <v>252749.81</v>
      </c>
      <c r="F428" s="15" t="n">
        <v>107313.56</v>
      </c>
      <c r="G428" s="16" t="n">
        <f aca="false">ROUND(E428+F428,2)</f>
        <v>360063.37</v>
      </c>
    </row>
    <row r="429" customFormat="false" ht="15" hidden="false" customHeight="false" outlineLevel="0" collapsed="false">
      <c r="A429" s="14" t="s">
        <v>24</v>
      </c>
      <c r="B429" s="14" t="n">
        <v>2023</v>
      </c>
      <c r="C429" s="14" t="n">
        <v>2</v>
      </c>
      <c r="D429" s="14" t="s">
        <v>51</v>
      </c>
      <c r="E429" s="15" t="n">
        <v>243094.85</v>
      </c>
      <c r="F429" s="15" t="n">
        <v>91649.93</v>
      </c>
      <c r="G429" s="16" t="n">
        <f aca="false">ROUND(E429+F429,2)</f>
        <v>334744.78</v>
      </c>
    </row>
    <row r="430" customFormat="false" ht="15" hidden="false" customHeight="false" outlineLevel="0" collapsed="false">
      <c r="A430" s="14" t="s">
        <v>24</v>
      </c>
      <c r="B430" s="14" t="n">
        <v>2023</v>
      </c>
      <c r="C430" s="14" t="n">
        <v>3</v>
      </c>
      <c r="D430" s="14" t="s">
        <v>52</v>
      </c>
      <c r="E430" s="15" t="n">
        <v>290489.6</v>
      </c>
      <c r="F430" s="15" t="n">
        <v>127953.55</v>
      </c>
      <c r="G430" s="16" t="n">
        <f aca="false">ROUND(E430+F430,2)</f>
        <v>418443.15</v>
      </c>
    </row>
    <row r="431" customFormat="false" ht="15" hidden="false" customHeight="false" outlineLevel="0" collapsed="false">
      <c r="A431" s="14" t="s">
        <v>24</v>
      </c>
      <c r="B431" s="14" t="n">
        <v>2023</v>
      </c>
      <c r="C431" s="14" t="n">
        <v>4</v>
      </c>
      <c r="D431" s="14" t="s">
        <v>53</v>
      </c>
      <c r="E431" s="15" t="n">
        <v>305952.22</v>
      </c>
      <c r="F431" s="15" t="n">
        <v>139854.88</v>
      </c>
      <c r="G431" s="16" t="n">
        <f aca="false">ROUND(E431+F431,2)</f>
        <v>445807.1</v>
      </c>
    </row>
    <row r="432" customFormat="false" ht="15" hidden="false" customHeight="false" outlineLevel="0" collapsed="false">
      <c r="A432" s="14" t="s">
        <v>24</v>
      </c>
      <c r="B432" s="14" t="n">
        <v>2023</v>
      </c>
      <c r="C432" s="14" t="n">
        <v>5</v>
      </c>
      <c r="D432" s="14" t="s">
        <v>54</v>
      </c>
      <c r="E432" s="15" t="n">
        <v>289934.4</v>
      </c>
      <c r="F432" s="15" t="n">
        <v>129170.68</v>
      </c>
      <c r="G432" s="16" t="n">
        <f aca="false">ROUND(E432+F432,2)</f>
        <v>419105.08</v>
      </c>
    </row>
    <row r="433" customFormat="false" ht="15" hidden="false" customHeight="false" outlineLevel="0" collapsed="false">
      <c r="A433" s="14" t="s">
        <v>24</v>
      </c>
      <c r="B433" s="14" t="n">
        <v>2023</v>
      </c>
      <c r="C433" s="14" t="n">
        <v>6</v>
      </c>
      <c r="D433" s="14" t="s">
        <v>55</v>
      </c>
      <c r="E433" s="15" t="n">
        <v>333556.01</v>
      </c>
      <c r="F433" s="15" t="n">
        <v>124823.56</v>
      </c>
      <c r="G433" s="16" t="n">
        <f aca="false">ROUND(E433+F433,2)</f>
        <v>458379.57</v>
      </c>
    </row>
    <row r="434" customFormat="false" ht="15" hidden="false" customHeight="false" outlineLevel="0" collapsed="false">
      <c r="A434" s="14" t="s">
        <v>24</v>
      </c>
      <c r="B434" s="14" t="n">
        <v>2023</v>
      </c>
      <c r="C434" s="14" t="n">
        <v>7</v>
      </c>
      <c r="D434" s="14" t="s">
        <v>56</v>
      </c>
      <c r="E434" s="15" t="n">
        <v>316544.16</v>
      </c>
      <c r="F434" s="15" t="n">
        <v>126337.51</v>
      </c>
      <c r="G434" s="16" t="n">
        <f aca="false">ROUND(E434+F434,2)</f>
        <v>442881.67</v>
      </c>
    </row>
    <row r="435" customFormat="false" ht="15" hidden="false" customHeight="false" outlineLevel="0" collapsed="false">
      <c r="A435" s="14" t="s">
        <v>24</v>
      </c>
      <c r="B435" s="14" t="n">
        <v>2023</v>
      </c>
      <c r="C435" s="14" t="n">
        <v>8</v>
      </c>
      <c r="D435" s="14" t="s">
        <v>57</v>
      </c>
      <c r="E435" s="15" t="n">
        <v>295728.68</v>
      </c>
      <c r="F435" s="15" t="n">
        <v>158251.55</v>
      </c>
      <c r="G435" s="16" t="n">
        <f aca="false">ROUND(E435+F435,2)</f>
        <v>453980.23</v>
      </c>
    </row>
    <row r="436" customFormat="false" ht="15" hidden="false" customHeight="false" outlineLevel="0" collapsed="false">
      <c r="A436" s="14" t="s">
        <v>24</v>
      </c>
      <c r="B436" s="14" t="n">
        <v>2023</v>
      </c>
      <c r="C436" s="14" t="n">
        <v>9</v>
      </c>
      <c r="D436" s="14" t="s">
        <v>58</v>
      </c>
      <c r="E436" s="15" t="n">
        <v>286941.48</v>
      </c>
      <c r="F436" s="15" t="n">
        <v>134668.62</v>
      </c>
      <c r="G436" s="16" t="n">
        <f aca="false">ROUND(E436+F436,2)</f>
        <v>421610.1</v>
      </c>
    </row>
    <row r="437" customFormat="false" ht="15" hidden="false" customHeight="false" outlineLevel="0" collapsed="false">
      <c r="A437" s="14" t="s">
        <v>24</v>
      </c>
      <c r="B437" s="14" t="n">
        <v>2023</v>
      </c>
      <c r="C437" s="14" t="n">
        <v>10</v>
      </c>
      <c r="D437" s="14" t="s">
        <v>59</v>
      </c>
      <c r="E437" s="15" t="n">
        <v>269138.79</v>
      </c>
      <c r="F437" s="15" t="n">
        <v>132533.86</v>
      </c>
      <c r="G437" s="16" t="n">
        <f aca="false">ROUND(E437+F437,2)</f>
        <v>401672.65</v>
      </c>
    </row>
    <row r="438" customFormat="false" ht="15" hidden="false" customHeight="false" outlineLevel="0" collapsed="false">
      <c r="A438" s="14" t="s">
        <v>24</v>
      </c>
      <c r="B438" s="14" t="n">
        <v>2023</v>
      </c>
      <c r="C438" s="14" t="n">
        <v>11</v>
      </c>
      <c r="D438" s="14" t="s">
        <v>60</v>
      </c>
      <c r="E438" s="15" t="n">
        <v>269207.95</v>
      </c>
      <c r="F438" s="15" t="n">
        <v>141142.71</v>
      </c>
      <c r="G438" s="16" t="n">
        <f aca="false">ROUND(E438+F438,2)</f>
        <v>410350.66</v>
      </c>
    </row>
    <row r="439" customFormat="false" ht="15" hidden="false" customHeight="false" outlineLevel="0" collapsed="false">
      <c r="A439" s="14" t="s">
        <v>24</v>
      </c>
      <c r="B439" s="14" t="n">
        <v>2023</v>
      </c>
      <c r="C439" s="14" t="n">
        <v>12</v>
      </c>
      <c r="D439" s="14" t="s">
        <v>61</v>
      </c>
      <c r="E439" s="15" t="n">
        <v>269373.84</v>
      </c>
      <c r="F439" s="15" t="n">
        <v>112150.29</v>
      </c>
      <c r="G439" s="16" t="n">
        <f aca="false">ROUND(E439+F439,2)</f>
        <v>381524.13</v>
      </c>
    </row>
    <row r="440" customFormat="false" ht="15" hidden="false" customHeight="false" outlineLevel="0" collapsed="false">
      <c r="A440" s="14" t="s">
        <v>24</v>
      </c>
      <c r="B440" s="14" t="n">
        <v>2024</v>
      </c>
      <c r="C440" s="14" t="n">
        <v>1</v>
      </c>
      <c r="D440" s="14" t="s">
        <v>50</v>
      </c>
      <c r="E440" s="15" t="n">
        <v>295458.4</v>
      </c>
      <c r="F440" s="15" t="n">
        <v>161511.35</v>
      </c>
      <c r="G440" s="16" t="n">
        <f aca="false">ROUND(E440+F440,2)</f>
        <v>456969.75</v>
      </c>
    </row>
    <row r="441" customFormat="false" ht="15" hidden="false" customHeight="false" outlineLevel="0" collapsed="false">
      <c r="A441" s="14" t="s">
        <v>24</v>
      </c>
      <c r="B441" s="14" t="n">
        <v>2024</v>
      </c>
      <c r="C441" s="14" t="n">
        <v>2</v>
      </c>
      <c r="D441" s="14" t="s">
        <v>51</v>
      </c>
      <c r="E441" s="15" t="n">
        <v>266672.82</v>
      </c>
      <c r="F441" s="15" t="n">
        <v>162785.01</v>
      </c>
      <c r="G441" s="16" t="n">
        <f aca="false">ROUND(E441+F441,2)</f>
        <v>429457.83</v>
      </c>
    </row>
    <row r="442" customFormat="false" ht="15" hidden="false" customHeight="false" outlineLevel="0" collapsed="false">
      <c r="A442" s="14" t="s">
        <v>24</v>
      </c>
      <c r="B442" s="14" t="n">
        <v>2024</v>
      </c>
      <c r="C442" s="14" t="n">
        <v>3</v>
      </c>
      <c r="D442" s="14" t="s">
        <v>52</v>
      </c>
      <c r="E442" s="15" t="n">
        <v>348693.71</v>
      </c>
      <c r="F442" s="15" t="n">
        <v>189475.67</v>
      </c>
      <c r="G442" s="16" t="n">
        <f aca="false">ROUND(E442+F442,2)</f>
        <v>538169.38</v>
      </c>
    </row>
    <row r="443" customFormat="false" ht="15" hidden="false" customHeight="false" outlineLevel="0" collapsed="false">
      <c r="A443" s="14" t="s">
        <v>24</v>
      </c>
      <c r="B443" s="14" t="n">
        <v>2024</v>
      </c>
      <c r="C443" s="14" t="n">
        <v>4</v>
      </c>
      <c r="D443" s="14" t="s">
        <v>53</v>
      </c>
      <c r="E443" s="15" t="n">
        <v>336552.35</v>
      </c>
      <c r="F443" s="15" t="n">
        <v>184661.76</v>
      </c>
      <c r="G443" s="16" t="n">
        <f aca="false">ROUND(E443+F443,2)</f>
        <v>521214.11</v>
      </c>
    </row>
    <row r="444" customFormat="false" ht="15" hidden="false" customHeight="false" outlineLevel="0" collapsed="false">
      <c r="A444" s="14" t="s">
        <v>24</v>
      </c>
      <c r="B444" s="14" t="n">
        <v>2024</v>
      </c>
      <c r="C444" s="14" t="n">
        <v>5</v>
      </c>
      <c r="D444" s="14" t="s">
        <v>54</v>
      </c>
      <c r="E444" s="15" t="n">
        <v>341326.77</v>
      </c>
      <c r="F444" s="15" t="n">
        <v>173376.63</v>
      </c>
      <c r="G444" s="16" t="n">
        <f aca="false">ROUND(E444+F444,2)</f>
        <v>514703.4</v>
      </c>
    </row>
    <row r="445" customFormat="false" ht="15" hidden="false" customHeight="false" outlineLevel="0" collapsed="false">
      <c r="A445" s="14" t="s">
        <v>24</v>
      </c>
      <c r="B445" s="14" t="n">
        <v>2024</v>
      </c>
      <c r="C445" s="14" t="n">
        <v>6</v>
      </c>
      <c r="D445" s="14" t="s">
        <v>55</v>
      </c>
      <c r="E445" s="15" t="n">
        <v>187688.05</v>
      </c>
      <c r="F445" s="15" t="n">
        <v>80755.45</v>
      </c>
      <c r="G445" s="16" t="n">
        <f aca="false">ROUND(E445+F445,2)</f>
        <v>268443.5</v>
      </c>
    </row>
    <row r="446" customFormat="false" ht="15" hidden="false" customHeight="false" outlineLevel="0" collapsed="false">
      <c r="A446" s="14" t="s">
        <v>24</v>
      </c>
      <c r="B446" s="14" t="n">
        <v>2024</v>
      </c>
      <c r="C446" s="14" t="n">
        <v>7</v>
      </c>
      <c r="D446" s="14" t="s">
        <v>56</v>
      </c>
      <c r="E446" s="15" t="n">
        <v>339874.12</v>
      </c>
      <c r="F446" s="15" t="n">
        <v>181143.53</v>
      </c>
      <c r="G446" s="16" t="n">
        <f aca="false">ROUND(E446+F446,2)</f>
        <v>521017.65</v>
      </c>
    </row>
    <row r="447" customFormat="false" ht="15" hidden="false" customHeight="false" outlineLevel="0" collapsed="false">
      <c r="A447" s="14" t="s">
        <v>24</v>
      </c>
      <c r="B447" s="14" t="n">
        <v>2024</v>
      </c>
      <c r="C447" s="14" t="n">
        <v>8</v>
      </c>
      <c r="D447" s="14" t="s">
        <v>57</v>
      </c>
      <c r="E447" s="15" t="n">
        <v>371015.09</v>
      </c>
      <c r="F447" s="15" t="n">
        <v>198804.11</v>
      </c>
      <c r="G447" s="16" t="n">
        <f aca="false">ROUND(E447+F447,2)</f>
        <v>569819.2</v>
      </c>
    </row>
    <row r="448" customFormat="false" ht="15" hidden="false" customHeight="false" outlineLevel="0" collapsed="false">
      <c r="A448" s="14" t="s">
        <v>24</v>
      </c>
      <c r="B448" s="14" t="n">
        <v>2024</v>
      </c>
      <c r="C448" s="14" t="n">
        <v>9</v>
      </c>
      <c r="D448" s="14" t="s">
        <v>58</v>
      </c>
      <c r="E448" s="15" t="n">
        <v>306528.51</v>
      </c>
      <c r="F448" s="15" t="n">
        <v>179722.12</v>
      </c>
      <c r="G448" s="16" t="n">
        <f aca="false">ROUND(E448+F448,2)</f>
        <v>486250.63</v>
      </c>
    </row>
    <row r="449" customFormat="false" ht="15" hidden="false" customHeight="false" outlineLevel="0" collapsed="false">
      <c r="A449" s="14" t="s">
        <v>24</v>
      </c>
      <c r="B449" s="14" t="n">
        <v>2024</v>
      </c>
      <c r="C449" s="14" t="n">
        <v>10</v>
      </c>
      <c r="D449" s="14" t="s">
        <v>59</v>
      </c>
      <c r="E449" s="15" t="n">
        <v>299072.71</v>
      </c>
      <c r="F449" s="15" t="n">
        <v>148413.58</v>
      </c>
      <c r="G449" s="16" t="n">
        <f aca="false">ROUND(E449+F449,2)</f>
        <v>447486.29</v>
      </c>
    </row>
    <row r="450" customFormat="false" ht="15" hidden="false" customHeight="false" outlineLevel="0" collapsed="false">
      <c r="A450" s="14" t="s">
        <v>24</v>
      </c>
      <c r="B450" s="14" t="n">
        <v>2024</v>
      </c>
      <c r="C450" s="14" t="n">
        <v>11</v>
      </c>
      <c r="D450" s="14" t="s">
        <v>60</v>
      </c>
      <c r="E450" s="15" t="n">
        <v>323324.16</v>
      </c>
      <c r="F450" s="15" t="n">
        <v>160204.78</v>
      </c>
      <c r="G450" s="16" t="n">
        <f aca="false">ROUND(E450+F450,2)</f>
        <v>483528.94</v>
      </c>
    </row>
    <row r="451" customFormat="false" ht="15" hidden="false" customHeight="false" outlineLevel="0" collapsed="false">
      <c r="A451" s="14" t="s">
        <v>24</v>
      </c>
      <c r="B451" s="14" t="n">
        <v>2024</v>
      </c>
      <c r="C451" s="14" t="n">
        <v>12</v>
      </c>
      <c r="D451" s="14" t="s">
        <v>61</v>
      </c>
      <c r="E451" s="15" t="n">
        <v>328858.07</v>
      </c>
      <c r="F451" s="15" t="n">
        <v>149552.18</v>
      </c>
      <c r="G451" s="16" t="n">
        <f aca="false">ROUND(E451+F451,2)</f>
        <v>478410.25</v>
      </c>
    </row>
    <row r="452" customFormat="false" ht="15" hidden="false" customHeight="false" outlineLevel="0" collapsed="false">
      <c r="A452" s="14" t="s">
        <v>24</v>
      </c>
      <c r="B452" s="14" t="n">
        <v>2025</v>
      </c>
      <c r="C452" s="14" t="n">
        <v>1</v>
      </c>
      <c r="D452" s="14" t="s">
        <v>50</v>
      </c>
      <c r="E452" s="15" t="n">
        <v>324321.82</v>
      </c>
      <c r="F452" s="15" t="n">
        <v>161293.14</v>
      </c>
      <c r="G452" s="16" t="n">
        <f aca="false">ROUND(E452+F452,2)</f>
        <v>485614.96</v>
      </c>
    </row>
    <row r="453" customFormat="false" ht="15" hidden="false" customHeight="false" outlineLevel="0" collapsed="false">
      <c r="A453" s="14" t="s">
        <v>24</v>
      </c>
      <c r="B453" s="14" t="n">
        <v>2025</v>
      </c>
      <c r="C453" s="14" t="n">
        <v>2</v>
      </c>
      <c r="D453" s="14" t="s">
        <v>51</v>
      </c>
      <c r="E453" s="15" t="n">
        <v>297254.31</v>
      </c>
      <c r="F453" s="15" t="n">
        <v>155836.3</v>
      </c>
      <c r="G453" s="16" t="n">
        <f aca="false">ROUND(E453+F453,2)</f>
        <v>453090.61</v>
      </c>
    </row>
    <row r="454" customFormat="false" ht="15" hidden="false" customHeight="false" outlineLevel="0" collapsed="false">
      <c r="A454" s="14" t="s">
        <v>24</v>
      </c>
      <c r="B454" s="14" t="n">
        <v>2025</v>
      </c>
      <c r="C454" s="14" t="n">
        <v>3</v>
      </c>
      <c r="D454" s="14" t="s">
        <v>52</v>
      </c>
      <c r="E454" s="15" t="n">
        <v>351085.63</v>
      </c>
      <c r="F454" s="15" t="n">
        <v>153354.5</v>
      </c>
      <c r="G454" s="16" t="n">
        <f aca="false">ROUND(E454+F454,2)</f>
        <v>504440.13</v>
      </c>
    </row>
    <row r="455" customFormat="false" ht="15" hidden="false" customHeight="false" outlineLevel="0" collapsed="false">
      <c r="A455" s="14" t="s">
        <v>24</v>
      </c>
      <c r="B455" s="14" t="n">
        <v>2025</v>
      </c>
      <c r="C455" s="14" t="n">
        <v>4</v>
      </c>
      <c r="D455" s="14" t="s">
        <v>53</v>
      </c>
      <c r="E455" s="15" t="n">
        <v>386279.04</v>
      </c>
      <c r="F455" s="15" t="n">
        <v>175695.93</v>
      </c>
      <c r="G455" s="16" t="n">
        <f aca="false">ROUND(E455+F455,2)</f>
        <v>561974.97</v>
      </c>
    </row>
    <row r="456" customFormat="false" ht="15" hidden="false" customHeight="false" outlineLevel="0" collapsed="false">
      <c r="A456" s="14" t="s">
        <v>24</v>
      </c>
      <c r="B456" s="14" t="n">
        <v>2025</v>
      </c>
      <c r="C456" s="14" t="n">
        <v>5</v>
      </c>
      <c r="D456" s="14" t="s">
        <v>54</v>
      </c>
      <c r="E456" s="15" t="n">
        <v>323973.95</v>
      </c>
      <c r="F456" s="15" t="n">
        <v>155901.32</v>
      </c>
      <c r="G456" s="16" t="n">
        <f aca="false">ROUND(E456+F456,2)</f>
        <v>479875.27</v>
      </c>
    </row>
    <row r="457" customFormat="false" ht="15" hidden="false" customHeight="false" outlineLevel="0" collapsed="false">
      <c r="A457" s="14" t="s">
        <v>24</v>
      </c>
      <c r="B457" s="14" t="n">
        <v>2025</v>
      </c>
      <c r="C457" s="14" t="n">
        <v>6</v>
      </c>
      <c r="D457" s="14" t="s">
        <v>55</v>
      </c>
      <c r="E457" s="15" t="n">
        <v>318052.08</v>
      </c>
      <c r="F457" s="15" t="n">
        <v>154970.86</v>
      </c>
      <c r="G457" s="16" t="n">
        <f aca="false">ROUND(E457+F457,2)</f>
        <v>473022.94</v>
      </c>
    </row>
    <row r="458" customFormat="false" ht="15" hidden="false" customHeight="false" outlineLevel="0" collapsed="false">
      <c r="A458" s="14" t="s">
        <v>24</v>
      </c>
      <c r="B458" s="14" t="n">
        <v>2025</v>
      </c>
      <c r="C458" s="14" t="n">
        <v>7</v>
      </c>
      <c r="D458" s="14" t="s">
        <v>56</v>
      </c>
      <c r="E458" s="15" t="n">
        <v>352504.91</v>
      </c>
      <c r="F458" s="15" t="n">
        <v>172661.63</v>
      </c>
      <c r="G458" s="16" t="n">
        <f aca="false">ROUND(E458+F458,2)</f>
        <v>525166.54</v>
      </c>
    </row>
    <row r="459" customFormat="false" ht="15" hidden="false" customHeight="false" outlineLevel="0" collapsed="false">
      <c r="A459" s="14" t="s">
        <v>24</v>
      </c>
      <c r="B459" s="14" t="n">
        <v>2025</v>
      </c>
      <c r="C459" s="14" t="n">
        <v>8</v>
      </c>
      <c r="D459" s="14" t="s">
        <v>57</v>
      </c>
      <c r="E459" s="15" t="n">
        <v>338493.74</v>
      </c>
      <c r="F459" s="15" t="n">
        <v>166924.95</v>
      </c>
      <c r="G459" s="16" t="n">
        <f aca="false">ROUND(E459+F459,2)</f>
        <v>505418.69</v>
      </c>
    </row>
    <row r="460" customFormat="false" ht="15" hidden="false" customHeight="false" outlineLevel="0" collapsed="false">
      <c r="A460" s="14" t="s">
        <v>24</v>
      </c>
      <c r="B460" s="14" t="n">
        <v>2025</v>
      </c>
      <c r="C460" s="14" t="n">
        <v>9</v>
      </c>
      <c r="D460" s="14" t="s">
        <v>58</v>
      </c>
      <c r="E460" s="15" t="n">
        <v>341223.21</v>
      </c>
      <c r="F460" s="15" t="n">
        <v>161737.09</v>
      </c>
      <c r="G460" s="16" t="n">
        <f aca="false">ROUND(E460+F460,2)</f>
        <v>502960.3</v>
      </c>
    </row>
    <row r="461" customFormat="false" ht="15" hidden="false" customHeight="false" outlineLevel="0" collapsed="false">
      <c r="A461" s="14" t="s">
        <v>24</v>
      </c>
      <c r="B461" s="14" t="n">
        <v>2025</v>
      </c>
      <c r="C461" s="14" t="n">
        <v>10</v>
      </c>
      <c r="D461" s="14" t="s">
        <v>59</v>
      </c>
      <c r="E461" s="15" t="n">
        <v>365198.58</v>
      </c>
      <c r="F461" s="15" t="n">
        <v>198833.53</v>
      </c>
      <c r="G461" s="16" t="n">
        <f aca="false">ROUND(E461+F461,2)</f>
        <v>564032.11</v>
      </c>
    </row>
    <row r="462" customFormat="false" ht="15" hidden="false" customHeight="false" outlineLevel="0" collapsed="false">
      <c r="A462" s="14" t="s">
        <v>24</v>
      </c>
      <c r="B462" s="14" t="n">
        <v>2025</v>
      </c>
      <c r="C462" s="14" t="n">
        <v>11</v>
      </c>
      <c r="D462" s="14" t="s">
        <v>60</v>
      </c>
      <c r="E462" s="15" t="n">
        <v>306075.52</v>
      </c>
      <c r="F462" s="15" t="n">
        <v>134375.17</v>
      </c>
      <c r="G462" s="16" t="n">
        <f aca="false">ROUND(E462+F462,2)</f>
        <v>440450.69</v>
      </c>
    </row>
    <row r="463" customFormat="false" ht="15" hidden="false" customHeight="false" outlineLevel="0" collapsed="false">
      <c r="A463" s="14" t="s">
        <v>24</v>
      </c>
      <c r="B463" s="14" t="n">
        <v>2025</v>
      </c>
      <c r="C463" s="14" t="n">
        <v>12</v>
      </c>
      <c r="D463" s="14" t="s">
        <v>61</v>
      </c>
      <c r="E463" s="15" t="n">
        <v>292517.01</v>
      </c>
      <c r="F463" s="15" t="n">
        <v>155336.49</v>
      </c>
      <c r="G463" s="16" t="n">
        <f aca="false">ROUND(E463+F463,2)</f>
        <v>447853.5</v>
      </c>
    </row>
    <row r="464" customFormat="false" ht="15" hidden="false" customHeight="false" outlineLevel="0" collapsed="false">
      <c r="A464" s="14" t="s">
        <v>24</v>
      </c>
      <c r="B464" s="14" t="n">
        <v>2026</v>
      </c>
      <c r="C464" s="14" t="n">
        <v>1</v>
      </c>
      <c r="D464" s="14" t="s">
        <v>50</v>
      </c>
      <c r="E464" s="15" t="n">
        <v>349029.32</v>
      </c>
      <c r="F464" s="15" t="n">
        <v>181907.19</v>
      </c>
      <c r="G464" s="16" t="n">
        <f aca="false">ROUND(E464+F464,2)</f>
        <v>530936.51</v>
      </c>
    </row>
    <row r="465" customFormat="false" ht="15" hidden="false" customHeight="false" outlineLevel="0" collapsed="false">
      <c r="A465" s="14" t="s">
        <v>24</v>
      </c>
      <c r="B465" s="14" t="n">
        <v>2026</v>
      </c>
      <c r="C465" s="14" t="n">
        <v>2</v>
      </c>
      <c r="D465" s="14" t="s">
        <v>51</v>
      </c>
      <c r="E465" s="15" t="n">
        <v>317856.23</v>
      </c>
      <c r="F465" s="15" t="n">
        <v>140045.77</v>
      </c>
      <c r="G465" s="16" t="n">
        <f aca="false">ROUND(E465+F465,2)</f>
        <v>457902</v>
      </c>
    </row>
    <row r="466" customFormat="false" ht="15" hidden="false" customHeight="false" outlineLevel="0" collapsed="false">
      <c r="A466" s="14" t="s">
        <v>24</v>
      </c>
      <c r="B466" s="14" t="n">
        <v>2026</v>
      </c>
      <c r="C466" s="14" t="n">
        <v>3</v>
      </c>
      <c r="D466" s="14" t="s">
        <v>52</v>
      </c>
      <c r="E466" s="15" t="n">
        <v>372254.41</v>
      </c>
      <c r="F466" s="15" t="n">
        <v>166560.12</v>
      </c>
      <c r="G466" s="16" t="n">
        <f aca="false">ROUND(E466+F466,2)</f>
        <v>538814.53</v>
      </c>
    </row>
    <row r="467" customFormat="false" ht="15" hidden="false" customHeight="false" outlineLevel="0" collapsed="false">
      <c r="A467" s="14" t="s">
        <v>24</v>
      </c>
      <c r="B467" s="14" t="n">
        <v>2026</v>
      </c>
      <c r="C467" s="14" t="n">
        <v>4</v>
      </c>
      <c r="D467" s="14" t="s">
        <v>53</v>
      </c>
      <c r="E467" s="15" t="n">
        <v>383275.25</v>
      </c>
      <c r="F467" s="15" t="n">
        <v>167226.85</v>
      </c>
      <c r="G467" s="16" t="n">
        <f aca="false">ROUND(E467+F467,2)</f>
        <v>550502.1</v>
      </c>
    </row>
    <row r="468" customFormat="false" ht="15" hidden="false" customHeight="false" outlineLevel="0" collapsed="false">
      <c r="A468" s="14" t="s">
        <v>24</v>
      </c>
      <c r="B468" s="14" t="n">
        <v>2026</v>
      </c>
      <c r="C468" s="14" t="n">
        <v>5</v>
      </c>
      <c r="D468" s="14" t="s">
        <v>54</v>
      </c>
      <c r="E468" s="15" t="n">
        <v>299874.1</v>
      </c>
      <c r="F468" s="15" t="n">
        <v>164840.09</v>
      </c>
      <c r="G468" s="16" t="n">
        <f aca="false">ROUND(E468+F468,2)</f>
        <v>464714.19</v>
      </c>
    </row>
    <row r="469" customFormat="false" ht="15" hidden="false" customHeight="false" outlineLevel="0" collapsed="false">
      <c r="A469" s="14" t="s">
        <v>24</v>
      </c>
      <c r="B469" s="14" t="n">
        <v>2026</v>
      </c>
      <c r="C469" s="14" t="n">
        <v>6</v>
      </c>
      <c r="D469" s="14" t="s">
        <v>55</v>
      </c>
      <c r="E469" s="15" t="n">
        <v>325241.19</v>
      </c>
      <c r="F469" s="15" t="n">
        <v>146993.7</v>
      </c>
      <c r="G469" s="16" t="n">
        <f aca="false">ROUND(E469+F469,2)</f>
        <v>472234.89</v>
      </c>
    </row>
    <row r="470" customFormat="false" ht="15" hidden="false" customHeight="false" outlineLevel="0" collapsed="false">
      <c r="A470" s="14" t="s">
        <v>24</v>
      </c>
      <c r="B470" s="14" t="n">
        <v>2026</v>
      </c>
      <c r="C470" s="14" t="n">
        <v>7</v>
      </c>
      <c r="D470" s="14" t="s">
        <v>56</v>
      </c>
      <c r="E470" s="15" t="n">
        <v>352238.72</v>
      </c>
      <c r="F470" s="15" t="n">
        <v>167575</v>
      </c>
      <c r="G470" s="16" t="n">
        <f aca="false">ROUND(E470+F470,2)</f>
        <v>519813.72</v>
      </c>
    </row>
    <row r="471" customFormat="false" ht="15" hidden="false" customHeight="false" outlineLevel="0" collapsed="false">
      <c r="A471" s="14" t="s">
        <v>10</v>
      </c>
      <c r="B471" s="14" t="n">
        <v>2021</v>
      </c>
      <c r="C471" s="14" t="n">
        <v>1</v>
      </c>
      <c r="D471" s="14" t="s">
        <v>50</v>
      </c>
      <c r="E471" s="15" t="n">
        <v>694990.64</v>
      </c>
      <c r="F471" s="15" t="n">
        <v>497249.56</v>
      </c>
      <c r="G471" s="16" t="n">
        <f aca="false">ROUND(E471+F471,2)</f>
        <v>1192240.2</v>
      </c>
    </row>
    <row r="472" customFormat="false" ht="15" hidden="false" customHeight="false" outlineLevel="0" collapsed="false">
      <c r="A472" s="14" t="s">
        <v>10</v>
      </c>
      <c r="B472" s="14" t="n">
        <v>2021</v>
      </c>
      <c r="C472" s="14" t="n">
        <v>2</v>
      </c>
      <c r="D472" s="14" t="s">
        <v>51</v>
      </c>
      <c r="E472" s="15" t="n">
        <v>697047.35</v>
      </c>
      <c r="F472" s="15" t="n">
        <v>417315.81</v>
      </c>
      <c r="G472" s="16" t="n">
        <f aca="false">ROUND(E472+F472,2)</f>
        <v>1114363.16</v>
      </c>
    </row>
    <row r="473" customFormat="false" ht="15" hidden="false" customHeight="false" outlineLevel="0" collapsed="false">
      <c r="A473" s="14" t="s">
        <v>10</v>
      </c>
      <c r="B473" s="14" t="n">
        <v>2021</v>
      </c>
      <c r="C473" s="14" t="n">
        <v>3</v>
      </c>
      <c r="D473" s="14" t="s">
        <v>52</v>
      </c>
      <c r="E473" s="15" t="n">
        <v>818724.57</v>
      </c>
      <c r="F473" s="15" t="n">
        <v>527007.04</v>
      </c>
      <c r="G473" s="16" t="n">
        <f aca="false">ROUND(E473+F473,2)</f>
        <v>1345731.61</v>
      </c>
    </row>
    <row r="474" customFormat="false" ht="15" hidden="false" customHeight="false" outlineLevel="0" collapsed="false">
      <c r="A474" s="14" t="s">
        <v>10</v>
      </c>
      <c r="B474" s="14" t="n">
        <v>2021</v>
      </c>
      <c r="C474" s="14" t="n">
        <v>4</v>
      </c>
      <c r="D474" s="14" t="s">
        <v>53</v>
      </c>
      <c r="E474" s="15" t="n">
        <v>896538.58</v>
      </c>
      <c r="F474" s="15" t="n">
        <v>584636.03</v>
      </c>
      <c r="G474" s="16" t="n">
        <f aca="false">ROUND(E474+F474,2)</f>
        <v>1481174.61</v>
      </c>
    </row>
    <row r="475" customFormat="false" ht="15" hidden="false" customHeight="false" outlineLevel="0" collapsed="false">
      <c r="A475" s="14" t="s">
        <v>10</v>
      </c>
      <c r="B475" s="14" t="n">
        <v>2021</v>
      </c>
      <c r="C475" s="14" t="n">
        <v>5</v>
      </c>
      <c r="D475" s="14" t="s">
        <v>54</v>
      </c>
      <c r="E475" s="15" t="n">
        <v>877232.61</v>
      </c>
      <c r="F475" s="15" t="n">
        <v>563350.14</v>
      </c>
      <c r="G475" s="16" t="n">
        <f aca="false">ROUND(E475+F475,2)</f>
        <v>1440582.75</v>
      </c>
    </row>
    <row r="476" customFormat="false" ht="15" hidden="false" customHeight="false" outlineLevel="0" collapsed="false">
      <c r="A476" s="14" t="s">
        <v>10</v>
      </c>
      <c r="B476" s="14" t="n">
        <v>2021</v>
      </c>
      <c r="C476" s="14" t="n">
        <v>6</v>
      </c>
      <c r="D476" s="14" t="s">
        <v>55</v>
      </c>
      <c r="E476" s="15" t="n">
        <v>941907.75</v>
      </c>
      <c r="F476" s="15" t="n">
        <v>604476.01</v>
      </c>
      <c r="G476" s="16" t="n">
        <f aca="false">ROUND(E476+F476,2)</f>
        <v>1546383.76</v>
      </c>
    </row>
    <row r="477" customFormat="false" ht="15" hidden="false" customHeight="false" outlineLevel="0" collapsed="false">
      <c r="A477" s="14" t="s">
        <v>10</v>
      </c>
      <c r="B477" s="14" t="n">
        <v>2021</v>
      </c>
      <c r="C477" s="14" t="n">
        <v>7</v>
      </c>
      <c r="D477" s="14" t="s">
        <v>56</v>
      </c>
      <c r="E477" s="15" t="n">
        <v>949856.96</v>
      </c>
      <c r="F477" s="15" t="n">
        <v>635567.47</v>
      </c>
      <c r="G477" s="16" t="n">
        <f aca="false">ROUND(E477+F477,2)</f>
        <v>1585424.43</v>
      </c>
    </row>
    <row r="478" customFormat="false" ht="15" hidden="false" customHeight="false" outlineLevel="0" collapsed="false">
      <c r="A478" s="14" t="s">
        <v>10</v>
      </c>
      <c r="B478" s="14" t="n">
        <v>2021</v>
      </c>
      <c r="C478" s="14" t="n">
        <v>8</v>
      </c>
      <c r="D478" s="14" t="s">
        <v>57</v>
      </c>
      <c r="E478" s="15" t="n">
        <v>848080.62</v>
      </c>
      <c r="F478" s="15" t="n">
        <v>577288.81</v>
      </c>
      <c r="G478" s="16" t="n">
        <f aca="false">ROUND(E478+F478,2)</f>
        <v>1425369.43</v>
      </c>
    </row>
    <row r="479" customFormat="false" ht="15" hidden="false" customHeight="false" outlineLevel="0" collapsed="false">
      <c r="A479" s="14" t="s">
        <v>10</v>
      </c>
      <c r="B479" s="14" t="n">
        <v>2021</v>
      </c>
      <c r="C479" s="14" t="n">
        <v>9</v>
      </c>
      <c r="D479" s="14" t="s">
        <v>58</v>
      </c>
      <c r="E479" s="15" t="n">
        <v>842057.47</v>
      </c>
      <c r="F479" s="15" t="n">
        <v>573100.24</v>
      </c>
      <c r="G479" s="16" t="n">
        <f aca="false">ROUND(E479+F479,2)</f>
        <v>1415157.71</v>
      </c>
    </row>
    <row r="480" customFormat="false" ht="15" hidden="false" customHeight="false" outlineLevel="0" collapsed="false">
      <c r="A480" s="14" t="s">
        <v>10</v>
      </c>
      <c r="B480" s="14" t="n">
        <v>2021</v>
      </c>
      <c r="C480" s="14" t="n">
        <v>10</v>
      </c>
      <c r="D480" s="14" t="s">
        <v>59</v>
      </c>
      <c r="E480" s="15" t="n">
        <v>856408.72</v>
      </c>
      <c r="F480" s="15" t="n">
        <v>584147.8</v>
      </c>
      <c r="G480" s="16" t="n">
        <f aca="false">ROUND(E480+F480,2)</f>
        <v>1440556.52</v>
      </c>
    </row>
    <row r="481" customFormat="false" ht="15" hidden="false" customHeight="false" outlineLevel="0" collapsed="false">
      <c r="A481" s="14" t="s">
        <v>10</v>
      </c>
      <c r="B481" s="14" t="n">
        <v>2021</v>
      </c>
      <c r="C481" s="14" t="n">
        <v>11</v>
      </c>
      <c r="D481" s="14" t="s">
        <v>60</v>
      </c>
      <c r="E481" s="15" t="n">
        <v>724436.74</v>
      </c>
      <c r="F481" s="15" t="n">
        <v>506380.46</v>
      </c>
      <c r="G481" s="16" t="n">
        <f aca="false">ROUND(E481+F481,2)</f>
        <v>1230817.2</v>
      </c>
    </row>
    <row r="482" customFormat="false" ht="15" hidden="false" customHeight="false" outlineLevel="0" collapsed="false">
      <c r="A482" s="14" t="s">
        <v>10</v>
      </c>
      <c r="B482" s="14" t="n">
        <v>2021</v>
      </c>
      <c r="C482" s="14" t="n">
        <v>12</v>
      </c>
      <c r="D482" s="14" t="s">
        <v>61</v>
      </c>
      <c r="E482" s="15" t="n">
        <v>933635.8</v>
      </c>
      <c r="F482" s="15" t="n">
        <v>561579.64</v>
      </c>
      <c r="G482" s="16" t="n">
        <f aca="false">ROUND(E482+F482,2)</f>
        <v>1495215.44</v>
      </c>
    </row>
    <row r="483" customFormat="false" ht="15" hidden="false" customHeight="false" outlineLevel="0" collapsed="false">
      <c r="A483" s="14" t="s">
        <v>10</v>
      </c>
      <c r="B483" s="14" t="n">
        <v>2022</v>
      </c>
      <c r="C483" s="14" t="n">
        <v>1</v>
      </c>
      <c r="D483" s="14" t="s">
        <v>50</v>
      </c>
      <c r="E483" s="15" t="n">
        <v>742497.47</v>
      </c>
      <c r="F483" s="15" t="n">
        <v>660637.24</v>
      </c>
      <c r="G483" s="16" t="n">
        <f aca="false">ROUND(E483+F483,2)</f>
        <v>1403134.71</v>
      </c>
    </row>
    <row r="484" customFormat="false" ht="15" hidden="false" customHeight="false" outlineLevel="0" collapsed="false">
      <c r="A484" s="14" t="s">
        <v>10</v>
      </c>
      <c r="B484" s="14" t="n">
        <v>2022</v>
      </c>
      <c r="C484" s="14" t="n">
        <v>2</v>
      </c>
      <c r="D484" s="14" t="s">
        <v>51</v>
      </c>
      <c r="E484" s="15" t="n">
        <v>823613.01</v>
      </c>
      <c r="F484" s="15" t="n">
        <v>566107.84</v>
      </c>
      <c r="G484" s="16" t="n">
        <f aca="false">ROUND(E484+F484,2)</f>
        <v>1389720.85</v>
      </c>
    </row>
    <row r="485" customFormat="false" ht="15" hidden="false" customHeight="false" outlineLevel="0" collapsed="false">
      <c r="A485" s="14" t="s">
        <v>10</v>
      </c>
      <c r="B485" s="14" t="n">
        <v>2022</v>
      </c>
      <c r="C485" s="14" t="n">
        <v>3</v>
      </c>
      <c r="D485" s="14" t="s">
        <v>52</v>
      </c>
      <c r="E485" s="15" t="n">
        <v>1065608.04</v>
      </c>
      <c r="F485" s="15" t="n">
        <v>628895.78</v>
      </c>
      <c r="G485" s="16" t="n">
        <f aca="false">ROUND(E485+F485,2)</f>
        <v>1694503.82</v>
      </c>
    </row>
    <row r="486" customFormat="false" ht="15" hidden="false" customHeight="false" outlineLevel="0" collapsed="false">
      <c r="A486" s="14" t="s">
        <v>10</v>
      </c>
      <c r="B486" s="14" t="n">
        <v>2022</v>
      </c>
      <c r="C486" s="14" t="n">
        <v>4</v>
      </c>
      <c r="D486" s="14" t="s">
        <v>53</v>
      </c>
      <c r="E486" s="15" t="n">
        <v>941286.51</v>
      </c>
      <c r="F486" s="15" t="n">
        <v>583217.3</v>
      </c>
      <c r="G486" s="16" t="n">
        <f aca="false">ROUND(E486+F486,2)</f>
        <v>1524503.81</v>
      </c>
    </row>
    <row r="487" customFormat="false" ht="15" hidden="false" customHeight="false" outlineLevel="0" collapsed="false">
      <c r="A487" s="14" t="s">
        <v>10</v>
      </c>
      <c r="B487" s="14" t="n">
        <v>2022</v>
      </c>
      <c r="C487" s="14" t="n">
        <v>5</v>
      </c>
      <c r="D487" s="14" t="s">
        <v>54</v>
      </c>
      <c r="E487" s="15" t="n">
        <v>894413.07</v>
      </c>
      <c r="F487" s="15" t="n">
        <v>583128.93</v>
      </c>
      <c r="G487" s="16" t="n">
        <f aca="false">ROUND(E487+F487,2)</f>
        <v>1477542</v>
      </c>
    </row>
    <row r="488" customFormat="false" ht="15" hidden="false" customHeight="false" outlineLevel="0" collapsed="false">
      <c r="A488" s="14" t="s">
        <v>10</v>
      </c>
      <c r="B488" s="14" t="n">
        <v>2022</v>
      </c>
      <c r="C488" s="14" t="n">
        <v>6</v>
      </c>
      <c r="D488" s="14" t="s">
        <v>55</v>
      </c>
      <c r="E488" s="15" t="n">
        <v>983107.68</v>
      </c>
      <c r="F488" s="15" t="n">
        <v>674536.56</v>
      </c>
      <c r="G488" s="16" t="n">
        <f aca="false">ROUND(E488+F488,2)</f>
        <v>1657644.24</v>
      </c>
    </row>
    <row r="489" customFormat="false" ht="15" hidden="false" customHeight="false" outlineLevel="0" collapsed="false">
      <c r="A489" s="14" t="s">
        <v>10</v>
      </c>
      <c r="B489" s="14" t="n">
        <v>2022</v>
      </c>
      <c r="C489" s="14" t="n">
        <v>7</v>
      </c>
      <c r="D489" s="14" t="s">
        <v>56</v>
      </c>
      <c r="E489" s="15" t="n">
        <v>927167.11</v>
      </c>
      <c r="F489" s="15" t="n">
        <v>558832.55</v>
      </c>
      <c r="G489" s="16" t="n">
        <f aca="false">ROUND(E489+F489,2)</f>
        <v>1485999.66</v>
      </c>
    </row>
    <row r="490" customFormat="false" ht="15" hidden="false" customHeight="false" outlineLevel="0" collapsed="false">
      <c r="A490" s="14" t="s">
        <v>10</v>
      </c>
      <c r="B490" s="14" t="n">
        <v>2022</v>
      </c>
      <c r="C490" s="14" t="n">
        <v>8</v>
      </c>
      <c r="D490" s="14" t="s">
        <v>57</v>
      </c>
      <c r="E490" s="15" t="n">
        <v>908391.93</v>
      </c>
      <c r="F490" s="15" t="n">
        <v>545987.19</v>
      </c>
      <c r="G490" s="16" t="n">
        <f aca="false">ROUND(E490+F490,2)</f>
        <v>1454379.12</v>
      </c>
    </row>
    <row r="491" customFormat="false" ht="15" hidden="false" customHeight="false" outlineLevel="0" collapsed="false">
      <c r="A491" s="14" t="s">
        <v>10</v>
      </c>
      <c r="B491" s="14" t="n">
        <v>2022</v>
      </c>
      <c r="C491" s="14" t="n">
        <v>9</v>
      </c>
      <c r="D491" s="14" t="s">
        <v>58</v>
      </c>
      <c r="E491" s="15" t="n">
        <v>859695.99</v>
      </c>
      <c r="F491" s="15" t="n">
        <v>561162.37</v>
      </c>
      <c r="G491" s="16" t="n">
        <f aca="false">ROUND(E491+F491,2)</f>
        <v>1420858.36</v>
      </c>
    </row>
    <row r="492" customFormat="false" ht="15" hidden="false" customHeight="false" outlineLevel="0" collapsed="false">
      <c r="A492" s="14" t="s">
        <v>10</v>
      </c>
      <c r="B492" s="14" t="n">
        <v>2022</v>
      </c>
      <c r="C492" s="14" t="n">
        <v>10</v>
      </c>
      <c r="D492" s="14" t="s">
        <v>59</v>
      </c>
      <c r="E492" s="15" t="n">
        <v>803942.91</v>
      </c>
      <c r="F492" s="15" t="n">
        <v>513659.03</v>
      </c>
      <c r="G492" s="16" t="n">
        <f aca="false">ROUND(E492+F492,2)</f>
        <v>1317601.94</v>
      </c>
    </row>
    <row r="493" customFormat="false" ht="15" hidden="false" customHeight="false" outlineLevel="0" collapsed="false">
      <c r="A493" s="14" t="s">
        <v>10</v>
      </c>
      <c r="B493" s="14" t="n">
        <v>2022</v>
      </c>
      <c r="C493" s="14" t="n">
        <v>11</v>
      </c>
      <c r="D493" s="14" t="s">
        <v>60</v>
      </c>
      <c r="E493" s="15" t="n">
        <v>797460.89</v>
      </c>
      <c r="F493" s="15" t="n">
        <v>550671.32</v>
      </c>
      <c r="G493" s="16" t="n">
        <f aca="false">ROUND(E493+F493,2)</f>
        <v>1348132.21</v>
      </c>
    </row>
    <row r="494" customFormat="false" ht="15" hidden="false" customHeight="false" outlineLevel="0" collapsed="false">
      <c r="A494" s="14" t="s">
        <v>10</v>
      </c>
      <c r="B494" s="14" t="n">
        <v>2022</v>
      </c>
      <c r="C494" s="14" t="n">
        <v>12</v>
      </c>
      <c r="D494" s="14" t="s">
        <v>61</v>
      </c>
      <c r="E494" s="15" t="n">
        <v>797381.94</v>
      </c>
      <c r="F494" s="15" t="n">
        <v>496248.17</v>
      </c>
      <c r="G494" s="16" t="n">
        <f aca="false">ROUND(E494+F494,2)</f>
        <v>1293630.11</v>
      </c>
    </row>
    <row r="495" customFormat="false" ht="15" hidden="false" customHeight="false" outlineLevel="0" collapsed="false">
      <c r="A495" s="14" t="s">
        <v>10</v>
      </c>
      <c r="B495" s="14" t="n">
        <v>2023</v>
      </c>
      <c r="C495" s="14" t="n">
        <v>1</v>
      </c>
      <c r="D495" s="14" t="s">
        <v>50</v>
      </c>
      <c r="E495" s="15" t="n">
        <v>835233.59</v>
      </c>
      <c r="F495" s="15" t="n">
        <v>542206.76</v>
      </c>
      <c r="G495" s="16" t="n">
        <f aca="false">ROUND(E495+F495,2)</f>
        <v>1377440.35</v>
      </c>
    </row>
    <row r="496" customFormat="false" ht="15" hidden="false" customHeight="false" outlineLevel="0" collapsed="false">
      <c r="A496" s="14" t="s">
        <v>10</v>
      </c>
      <c r="B496" s="14" t="n">
        <v>2023</v>
      </c>
      <c r="C496" s="14" t="n">
        <v>2</v>
      </c>
      <c r="D496" s="14" t="s">
        <v>51</v>
      </c>
      <c r="E496" s="15" t="n">
        <v>802441.59</v>
      </c>
      <c r="F496" s="15" t="n">
        <v>521939.35</v>
      </c>
      <c r="G496" s="16" t="n">
        <f aca="false">ROUND(E496+F496,2)</f>
        <v>1324380.94</v>
      </c>
    </row>
    <row r="497" customFormat="false" ht="15" hidden="false" customHeight="false" outlineLevel="0" collapsed="false">
      <c r="A497" s="14" t="s">
        <v>10</v>
      </c>
      <c r="B497" s="14" t="n">
        <v>2023</v>
      </c>
      <c r="C497" s="14" t="n">
        <v>3</v>
      </c>
      <c r="D497" s="14" t="s">
        <v>52</v>
      </c>
      <c r="E497" s="15" t="n">
        <v>993734.97</v>
      </c>
      <c r="F497" s="15" t="n">
        <v>581771.41</v>
      </c>
      <c r="G497" s="16" t="n">
        <f aca="false">ROUND(E497+F497,2)</f>
        <v>1575506.38</v>
      </c>
    </row>
    <row r="498" customFormat="false" ht="15" hidden="false" customHeight="false" outlineLevel="0" collapsed="false">
      <c r="A498" s="14" t="s">
        <v>10</v>
      </c>
      <c r="B498" s="14" t="n">
        <v>2023</v>
      </c>
      <c r="C498" s="14" t="n">
        <v>4</v>
      </c>
      <c r="D498" s="14" t="s">
        <v>53</v>
      </c>
      <c r="E498" s="15" t="n">
        <v>912472.12</v>
      </c>
      <c r="F498" s="15" t="n">
        <v>568386.84</v>
      </c>
      <c r="G498" s="16" t="n">
        <f aca="false">ROUND(E498+F498,2)</f>
        <v>1480858.96</v>
      </c>
    </row>
    <row r="499" customFormat="false" ht="15" hidden="false" customHeight="false" outlineLevel="0" collapsed="false">
      <c r="A499" s="14" t="s">
        <v>10</v>
      </c>
      <c r="B499" s="14" t="n">
        <v>2023</v>
      </c>
      <c r="C499" s="14" t="n">
        <v>5</v>
      </c>
      <c r="D499" s="14" t="s">
        <v>54</v>
      </c>
      <c r="E499" s="15" t="n">
        <v>951460.8</v>
      </c>
      <c r="F499" s="15" t="n">
        <v>624915.47</v>
      </c>
      <c r="G499" s="16" t="n">
        <f aca="false">ROUND(E499+F499,2)</f>
        <v>1576376.27</v>
      </c>
    </row>
    <row r="500" customFormat="false" ht="15" hidden="false" customHeight="false" outlineLevel="0" collapsed="false">
      <c r="A500" s="14" t="s">
        <v>10</v>
      </c>
      <c r="B500" s="14" t="n">
        <v>2023</v>
      </c>
      <c r="C500" s="14" t="n">
        <v>6</v>
      </c>
      <c r="D500" s="14" t="s">
        <v>55</v>
      </c>
      <c r="E500" s="15" t="n">
        <v>972670.7</v>
      </c>
      <c r="F500" s="15" t="n">
        <v>614868.7</v>
      </c>
      <c r="G500" s="16" t="n">
        <f aca="false">ROUND(E500+F500,2)</f>
        <v>1587539.4</v>
      </c>
    </row>
    <row r="501" customFormat="false" ht="15" hidden="false" customHeight="false" outlineLevel="0" collapsed="false">
      <c r="A501" s="14" t="s">
        <v>10</v>
      </c>
      <c r="B501" s="14" t="n">
        <v>2023</v>
      </c>
      <c r="C501" s="14" t="n">
        <v>7</v>
      </c>
      <c r="D501" s="14" t="s">
        <v>56</v>
      </c>
      <c r="E501" s="15" t="n">
        <v>941112.25</v>
      </c>
      <c r="F501" s="15" t="n">
        <v>588277.19</v>
      </c>
      <c r="G501" s="16" t="n">
        <f aca="false">ROUND(E501+F501,2)</f>
        <v>1529389.44</v>
      </c>
    </row>
    <row r="502" customFormat="false" ht="15" hidden="false" customHeight="false" outlineLevel="0" collapsed="false">
      <c r="A502" s="14" t="s">
        <v>10</v>
      </c>
      <c r="B502" s="14" t="n">
        <v>2023</v>
      </c>
      <c r="C502" s="14" t="n">
        <v>8</v>
      </c>
      <c r="D502" s="14" t="s">
        <v>57</v>
      </c>
      <c r="E502" s="15" t="n">
        <v>1165458.34</v>
      </c>
      <c r="F502" s="15" t="n">
        <v>749390.13</v>
      </c>
      <c r="G502" s="16" t="n">
        <f aca="false">ROUND(E502+F502,2)</f>
        <v>1914848.47</v>
      </c>
    </row>
    <row r="503" customFormat="false" ht="15" hidden="false" customHeight="false" outlineLevel="0" collapsed="false">
      <c r="A503" s="14" t="s">
        <v>10</v>
      </c>
      <c r="B503" s="14" t="n">
        <v>2023</v>
      </c>
      <c r="C503" s="14" t="n">
        <v>9</v>
      </c>
      <c r="D503" s="14" t="s">
        <v>58</v>
      </c>
      <c r="E503" s="15" t="n">
        <v>1004859.66</v>
      </c>
      <c r="F503" s="15" t="n">
        <v>679863.79</v>
      </c>
      <c r="G503" s="16" t="n">
        <f aca="false">ROUND(E503+F503,2)</f>
        <v>1684723.45</v>
      </c>
    </row>
    <row r="504" customFormat="false" ht="15" hidden="false" customHeight="false" outlineLevel="0" collapsed="false">
      <c r="A504" s="14" t="s">
        <v>10</v>
      </c>
      <c r="B504" s="14" t="n">
        <v>2023</v>
      </c>
      <c r="C504" s="14" t="n">
        <v>10</v>
      </c>
      <c r="D504" s="14" t="s">
        <v>59</v>
      </c>
      <c r="E504" s="15" t="n">
        <v>1054417.67</v>
      </c>
      <c r="F504" s="15" t="n">
        <v>663774.95</v>
      </c>
      <c r="G504" s="16" t="n">
        <f aca="false">ROUND(E504+F504,2)</f>
        <v>1718192.62</v>
      </c>
    </row>
    <row r="505" customFormat="false" ht="15" hidden="false" customHeight="false" outlineLevel="0" collapsed="false">
      <c r="A505" s="14" t="s">
        <v>10</v>
      </c>
      <c r="B505" s="14" t="n">
        <v>2023</v>
      </c>
      <c r="C505" s="14" t="n">
        <v>11</v>
      </c>
      <c r="D505" s="14" t="s">
        <v>60</v>
      </c>
      <c r="E505" s="15" t="n">
        <v>894149.1</v>
      </c>
      <c r="F505" s="15" t="n">
        <v>580361.79</v>
      </c>
      <c r="G505" s="16" t="n">
        <f aca="false">ROUND(E505+F505,2)</f>
        <v>1474510.89</v>
      </c>
    </row>
    <row r="506" customFormat="false" ht="15" hidden="false" customHeight="false" outlineLevel="0" collapsed="false">
      <c r="A506" s="14" t="s">
        <v>10</v>
      </c>
      <c r="B506" s="14" t="n">
        <v>2023</v>
      </c>
      <c r="C506" s="14" t="n">
        <v>12</v>
      </c>
      <c r="D506" s="14" t="s">
        <v>61</v>
      </c>
      <c r="E506" s="15" t="n">
        <v>1000909.84</v>
      </c>
      <c r="F506" s="15" t="n">
        <v>686065.97</v>
      </c>
      <c r="G506" s="16" t="n">
        <f aca="false">ROUND(E506+F506,2)</f>
        <v>1686975.81</v>
      </c>
    </row>
    <row r="507" customFormat="false" ht="15" hidden="false" customHeight="false" outlineLevel="0" collapsed="false">
      <c r="A507" s="14" t="s">
        <v>10</v>
      </c>
      <c r="B507" s="14" t="n">
        <v>2024</v>
      </c>
      <c r="C507" s="14" t="n">
        <v>1</v>
      </c>
      <c r="D507" s="14" t="s">
        <v>50</v>
      </c>
      <c r="E507" s="15" t="n">
        <v>950065.89</v>
      </c>
      <c r="F507" s="15" t="n">
        <v>708884.59</v>
      </c>
      <c r="G507" s="16" t="n">
        <f aca="false">ROUND(E507+F507,2)</f>
        <v>1658950.48</v>
      </c>
    </row>
    <row r="508" customFormat="false" ht="15" hidden="false" customHeight="false" outlineLevel="0" collapsed="false">
      <c r="A508" s="14" t="s">
        <v>10</v>
      </c>
      <c r="B508" s="14" t="n">
        <v>2024</v>
      </c>
      <c r="C508" s="14" t="n">
        <v>2</v>
      </c>
      <c r="D508" s="14" t="s">
        <v>51</v>
      </c>
      <c r="E508" s="15" t="n">
        <v>956962.96</v>
      </c>
      <c r="F508" s="15" t="n">
        <v>623307.46</v>
      </c>
      <c r="G508" s="16" t="n">
        <f aca="false">ROUND(E508+F508,2)</f>
        <v>1580270.42</v>
      </c>
    </row>
    <row r="509" customFormat="false" ht="15" hidden="false" customHeight="false" outlineLevel="0" collapsed="false">
      <c r="A509" s="14" t="s">
        <v>10</v>
      </c>
      <c r="B509" s="14" t="n">
        <v>2024</v>
      </c>
      <c r="C509" s="14" t="n">
        <v>3</v>
      </c>
      <c r="D509" s="14" t="s">
        <v>52</v>
      </c>
      <c r="E509" s="15" t="n">
        <v>1035663.41</v>
      </c>
      <c r="F509" s="15" t="n">
        <v>682824.22</v>
      </c>
      <c r="G509" s="16" t="n">
        <f aca="false">ROUND(E509+F509,2)</f>
        <v>1718487.63</v>
      </c>
    </row>
    <row r="510" customFormat="false" ht="15" hidden="false" customHeight="false" outlineLevel="0" collapsed="false">
      <c r="A510" s="14" t="s">
        <v>10</v>
      </c>
      <c r="B510" s="14" t="n">
        <v>2024</v>
      </c>
      <c r="C510" s="14" t="n">
        <v>4</v>
      </c>
      <c r="D510" s="14" t="s">
        <v>53</v>
      </c>
      <c r="E510" s="15" t="n">
        <v>1070868.33</v>
      </c>
      <c r="F510" s="15" t="n">
        <v>654284.44</v>
      </c>
      <c r="G510" s="16" t="n">
        <f aca="false">ROUND(E510+F510,2)</f>
        <v>1725152.77</v>
      </c>
    </row>
    <row r="511" customFormat="false" ht="15" hidden="false" customHeight="false" outlineLevel="0" collapsed="false">
      <c r="A511" s="14" t="s">
        <v>10</v>
      </c>
      <c r="B511" s="14" t="n">
        <v>2024</v>
      </c>
      <c r="C511" s="14" t="n">
        <v>5</v>
      </c>
      <c r="D511" s="14" t="s">
        <v>54</v>
      </c>
      <c r="E511" s="15" t="n">
        <v>1128279.2</v>
      </c>
      <c r="F511" s="15" t="n">
        <v>669858.12</v>
      </c>
      <c r="G511" s="16" t="n">
        <f aca="false">ROUND(E511+F511,2)</f>
        <v>1798137.32</v>
      </c>
    </row>
    <row r="512" customFormat="false" ht="15" hidden="false" customHeight="false" outlineLevel="0" collapsed="false">
      <c r="A512" s="14" t="s">
        <v>10</v>
      </c>
      <c r="B512" s="14" t="n">
        <v>2024</v>
      </c>
      <c r="C512" s="14" t="n">
        <v>6</v>
      </c>
      <c r="D512" s="14" t="s">
        <v>55</v>
      </c>
      <c r="E512" s="15" t="n">
        <v>351194.27</v>
      </c>
      <c r="F512" s="15" t="n">
        <v>332431.35</v>
      </c>
      <c r="G512" s="16" t="n">
        <f aca="false">ROUND(E512+F512,2)</f>
        <v>683625.62</v>
      </c>
    </row>
    <row r="513" customFormat="false" ht="15" hidden="false" customHeight="false" outlineLevel="0" collapsed="false">
      <c r="A513" s="14" t="s">
        <v>10</v>
      </c>
      <c r="B513" s="14" t="n">
        <v>2024</v>
      </c>
      <c r="C513" s="14" t="n">
        <v>7</v>
      </c>
      <c r="D513" s="14" t="s">
        <v>56</v>
      </c>
      <c r="E513" s="15" t="n">
        <v>1005997.5</v>
      </c>
      <c r="F513" s="15" t="n">
        <v>572906.04</v>
      </c>
      <c r="G513" s="16" t="n">
        <f aca="false">ROUND(E513+F513,2)</f>
        <v>1578903.54</v>
      </c>
    </row>
    <row r="514" customFormat="false" ht="15" hidden="false" customHeight="false" outlineLevel="0" collapsed="false">
      <c r="A514" s="14" t="s">
        <v>10</v>
      </c>
      <c r="B514" s="14" t="n">
        <v>2024</v>
      </c>
      <c r="C514" s="14" t="n">
        <v>8</v>
      </c>
      <c r="D514" s="14" t="s">
        <v>57</v>
      </c>
      <c r="E514" s="15" t="n">
        <v>1100746.03</v>
      </c>
      <c r="F514" s="15" t="n">
        <v>649221.07</v>
      </c>
      <c r="G514" s="16" t="n">
        <f aca="false">ROUND(E514+F514,2)</f>
        <v>1749967.1</v>
      </c>
    </row>
    <row r="515" customFormat="false" ht="15" hidden="false" customHeight="false" outlineLevel="0" collapsed="false">
      <c r="A515" s="14" t="s">
        <v>10</v>
      </c>
      <c r="B515" s="14" t="n">
        <v>2024</v>
      </c>
      <c r="C515" s="14" t="n">
        <v>9</v>
      </c>
      <c r="D515" s="14" t="s">
        <v>58</v>
      </c>
      <c r="E515" s="15" t="n">
        <v>1077160.13</v>
      </c>
      <c r="F515" s="15" t="n">
        <v>609067.51</v>
      </c>
      <c r="G515" s="16" t="n">
        <f aca="false">ROUND(E515+F515,2)</f>
        <v>1686227.64</v>
      </c>
    </row>
    <row r="516" customFormat="false" ht="15" hidden="false" customHeight="false" outlineLevel="0" collapsed="false">
      <c r="A516" s="14" t="s">
        <v>10</v>
      </c>
      <c r="B516" s="14" t="n">
        <v>2024</v>
      </c>
      <c r="C516" s="14" t="n">
        <v>10</v>
      </c>
      <c r="D516" s="14" t="s">
        <v>59</v>
      </c>
      <c r="E516" s="15" t="n">
        <v>1169045.36</v>
      </c>
      <c r="F516" s="15" t="n">
        <v>679962.07</v>
      </c>
      <c r="G516" s="16" t="n">
        <f aca="false">ROUND(E516+F516,2)</f>
        <v>1849007.43</v>
      </c>
    </row>
    <row r="517" customFormat="false" ht="15" hidden="false" customHeight="false" outlineLevel="0" collapsed="false">
      <c r="A517" s="14" t="s">
        <v>10</v>
      </c>
      <c r="B517" s="14" t="n">
        <v>2024</v>
      </c>
      <c r="C517" s="14" t="n">
        <v>11</v>
      </c>
      <c r="D517" s="14" t="s">
        <v>60</v>
      </c>
      <c r="E517" s="15" t="n">
        <v>1073196.78</v>
      </c>
      <c r="F517" s="15" t="n">
        <v>656725.15</v>
      </c>
      <c r="G517" s="16" t="n">
        <f aca="false">ROUND(E517+F517,2)</f>
        <v>1729921.93</v>
      </c>
    </row>
    <row r="518" customFormat="false" ht="15" hidden="false" customHeight="false" outlineLevel="0" collapsed="false">
      <c r="A518" s="14" t="s">
        <v>10</v>
      </c>
      <c r="B518" s="14" t="n">
        <v>2024</v>
      </c>
      <c r="C518" s="14" t="n">
        <v>12</v>
      </c>
      <c r="D518" s="14" t="s">
        <v>61</v>
      </c>
      <c r="E518" s="15" t="n">
        <v>1124493.36</v>
      </c>
      <c r="F518" s="15" t="n">
        <v>548599.79</v>
      </c>
      <c r="G518" s="16" t="n">
        <f aca="false">ROUND(E518+F518,2)</f>
        <v>1673093.15</v>
      </c>
    </row>
    <row r="519" customFormat="false" ht="15" hidden="false" customHeight="false" outlineLevel="0" collapsed="false">
      <c r="A519" s="14" t="s">
        <v>10</v>
      </c>
      <c r="B519" s="14" t="n">
        <v>2025</v>
      </c>
      <c r="C519" s="14" t="n">
        <v>1</v>
      </c>
      <c r="D519" s="14" t="s">
        <v>50</v>
      </c>
      <c r="E519" s="15" t="n">
        <v>1165796.49</v>
      </c>
      <c r="F519" s="15" t="n">
        <v>656992.33</v>
      </c>
      <c r="G519" s="16" t="n">
        <f aca="false">ROUND(E519+F519,2)</f>
        <v>1822788.82</v>
      </c>
    </row>
    <row r="520" customFormat="false" ht="15" hidden="false" customHeight="false" outlineLevel="0" collapsed="false">
      <c r="A520" s="14" t="s">
        <v>10</v>
      </c>
      <c r="B520" s="14" t="n">
        <v>2025</v>
      </c>
      <c r="C520" s="14" t="n">
        <v>2</v>
      </c>
      <c r="D520" s="14" t="s">
        <v>51</v>
      </c>
      <c r="E520" s="15" t="n">
        <v>1057623.23</v>
      </c>
      <c r="F520" s="15" t="n">
        <v>613621.95</v>
      </c>
      <c r="G520" s="16" t="n">
        <f aca="false">ROUND(E520+F520,2)</f>
        <v>1671245.18</v>
      </c>
    </row>
    <row r="521" customFormat="false" ht="15" hidden="false" customHeight="false" outlineLevel="0" collapsed="false">
      <c r="A521" s="14" t="s">
        <v>10</v>
      </c>
      <c r="B521" s="14" t="n">
        <v>2025</v>
      </c>
      <c r="C521" s="14" t="n">
        <v>3</v>
      </c>
      <c r="D521" s="14" t="s">
        <v>52</v>
      </c>
      <c r="E521" s="15" t="n">
        <v>1201810.17</v>
      </c>
      <c r="F521" s="15" t="n">
        <v>640238.68</v>
      </c>
      <c r="G521" s="16" t="n">
        <f aca="false">ROUND(E521+F521,2)</f>
        <v>1842048.85</v>
      </c>
    </row>
    <row r="522" customFormat="false" ht="15" hidden="false" customHeight="false" outlineLevel="0" collapsed="false">
      <c r="A522" s="14" t="s">
        <v>10</v>
      </c>
      <c r="B522" s="14" t="n">
        <v>2025</v>
      </c>
      <c r="C522" s="14" t="n">
        <v>4</v>
      </c>
      <c r="D522" s="14" t="s">
        <v>53</v>
      </c>
      <c r="E522" s="15" t="n">
        <v>1317663.59</v>
      </c>
      <c r="F522" s="15" t="n">
        <v>689867.31</v>
      </c>
      <c r="G522" s="16" t="n">
        <f aca="false">ROUND(E522+F522,2)</f>
        <v>2007530.9</v>
      </c>
    </row>
    <row r="523" customFormat="false" ht="15" hidden="false" customHeight="false" outlineLevel="0" collapsed="false">
      <c r="A523" s="14" t="s">
        <v>10</v>
      </c>
      <c r="B523" s="14" t="n">
        <v>2025</v>
      </c>
      <c r="C523" s="14" t="n">
        <v>5</v>
      </c>
      <c r="D523" s="14" t="s">
        <v>54</v>
      </c>
      <c r="E523" s="15" t="n">
        <v>1209057.63</v>
      </c>
      <c r="F523" s="15" t="n">
        <v>754126.64</v>
      </c>
      <c r="G523" s="16" t="n">
        <f aca="false">ROUND(E523+F523,2)</f>
        <v>1963184.27</v>
      </c>
    </row>
    <row r="524" customFormat="false" ht="15" hidden="false" customHeight="false" outlineLevel="0" collapsed="false">
      <c r="A524" s="14" t="s">
        <v>10</v>
      </c>
      <c r="B524" s="14" t="n">
        <v>2025</v>
      </c>
      <c r="C524" s="14" t="n">
        <v>6</v>
      </c>
      <c r="D524" s="14" t="s">
        <v>55</v>
      </c>
      <c r="E524" s="15" t="n">
        <v>1222670.25</v>
      </c>
      <c r="F524" s="15" t="n">
        <v>666265.65</v>
      </c>
      <c r="G524" s="16" t="n">
        <f aca="false">ROUND(E524+F524,2)</f>
        <v>1888935.9</v>
      </c>
    </row>
    <row r="525" customFormat="false" ht="15" hidden="false" customHeight="false" outlineLevel="0" collapsed="false">
      <c r="A525" s="14" t="s">
        <v>10</v>
      </c>
      <c r="B525" s="14" t="n">
        <v>2025</v>
      </c>
      <c r="C525" s="14" t="n">
        <v>7</v>
      </c>
      <c r="D525" s="14" t="s">
        <v>56</v>
      </c>
      <c r="E525" s="15" t="n">
        <v>1257002.93</v>
      </c>
      <c r="F525" s="15" t="n">
        <v>676350.76</v>
      </c>
      <c r="G525" s="16" t="n">
        <f aca="false">ROUND(E525+F525,2)</f>
        <v>1933353.69</v>
      </c>
    </row>
    <row r="526" customFormat="false" ht="15" hidden="false" customHeight="false" outlineLevel="0" collapsed="false">
      <c r="A526" s="14" t="s">
        <v>10</v>
      </c>
      <c r="B526" s="14" t="n">
        <v>2025</v>
      </c>
      <c r="C526" s="14" t="n">
        <v>8</v>
      </c>
      <c r="D526" s="14" t="s">
        <v>57</v>
      </c>
      <c r="E526" s="15" t="n">
        <v>1271053.94</v>
      </c>
      <c r="F526" s="15" t="n">
        <v>681237.26</v>
      </c>
      <c r="G526" s="16" t="n">
        <f aca="false">ROUND(E526+F526,2)</f>
        <v>1952291.2</v>
      </c>
    </row>
    <row r="527" customFormat="false" ht="15" hidden="false" customHeight="false" outlineLevel="0" collapsed="false">
      <c r="A527" s="14" t="s">
        <v>10</v>
      </c>
      <c r="B527" s="14" t="n">
        <v>2025</v>
      </c>
      <c r="C527" s="14" t="n">
        <v>9</v>
      </c>
      <c r="D527" s="14" t="s">
        <v>58</v>
      </c>
      <c r="E527" s="15" t="n">
        <v>1189422.69</v>
      </c>
      <c r="F527" s="15" t="n">
        <v>711263.1</v>
      </c>
      <c r="G527" s="16" t="n">
        <f aca="false">ROUND(E527+F527,2)</f>
        <v>1900685.79</v>
      </c>
    </row>
    <row r="528" customFormat="false" ht="15" hidden="false" customHeight="false" outlineLevel="0" collapsed="false">
      <c r="A528" s="14" t="s">
        <v>10</v>
      </c>
      <c r="B528" s="14" t="n">
        <v>2025</v>
      </c>
      <c r="C528" s="14" t="n">
        <v>10</v>
      </c>
      <c r="D528" s="14" t="s">
        <v>59</v>
      </c>
      <c r="E528" s="15" t="n">
        <v>1241186.19</v>
      </c>
      <c r="F528" s="15" t="n">
        <v>835344.78</v>
      </c>
      <c r="G528" s="16" t="n">
        <f aca="false">ROUND(E528+F528,2)</f>
        <v>2076530.97</v>
      </c>
    </row>
    <row r="529" customFormat="false" ht="15" hidden="false" customHeight="false" outlineLevel="0" collapsed="false">
      <c r="A529" s="14" t="s">
        <v>10</v>
      </c>
      <c r="B529" s="14" t="n">
        <v>2025</v>
      </c>
      <c r="C529" s="14" t="n">
        <v>11</v>
      </c>
      <c r="D529" s="14" t="s">
        <v>60</v>
      </c>
      <c r="E529" s="15" t="n">
        <v>989905.96</v>
      </c>
      <c r="F529" s="15" t="n">
        <v>583429.68</v>
      </c>
      <c r="G529" s="16" t="n">
        <f aca="false">ROUND(E529+F529,2)</f>
        <v>1573335.64</v>
      </c>
    </row>
    <row r="530" customFormat="false" ht="15" hidden="false" customHeight="false" outlineLevel="0" collapsed="false">
      <c r="A530" s="14" t="s">
        <v>10</v>
      </c>
      <c r="B530" s="14" t="n">
        <v>2025</v>
      </c>
      <c r="C530" s="14" t="n">
        <v>12</v>
      </c>
      <c r="D530" s="14" t="s">
        <v>61</v>
      </c>
      <c r="E530" s="15" t="n">
        <v>1115905.27</v>
      </c>
      <c r="F530" s="15" t="n">
        <v>605836.19</v>
      </c>
      <c r="G530" s="16" t="n">
        <f aca="false">ROUND(E530+F530,2)</f>
        <v>1721741.46</v>
      </c>
    </row>
    <row r="531" customFormat="false" ht="15" hidden="false" customHeight="false" outlineLevel="0" collapsed="false">
      <c r="A531" s="14" t="s">
        <v>10</v>
      </c>
      <c r="B531" s="14" t="n">
        <v>2026</v>
      </c>
      <c r="C531" s="14" t="n">
        <v>1</v>
      </c>
      <c r="D531" s="14" t="s">
        <v>50</v>
      </c>
      <c r="E531" s="15" t="n">
        <v>1092265.84</v>
      </c>
      <c r="F531" s="15" t="n">
        <v>660801.91</v>
      </c>
      <c r="G531" s="16" t="n">
        <f aca="false">ROUND(E531+F531,2)</f>
        <v>1753067.75</v>
      </c>
    </row>
    <row r="532" customFormat="false" ht="15" hidden="false" customHeight="false" outlineLevel="0" collapsed="false">
      <c r="A532" s="14" t="s">
        <v>10</v>
      </c>
      <c r="B532" s="14" t="n">
        <v>2026</v>
      </c>
      <c r="C532" s="14" t="n">
        <v>2</v>
      </c>
      <c r="D532" s="14" t="s">
        <v>51</v>
      </c>
      <c r="E532" s="15" t="n">
        <v>1103475.16</v>
      </c>
      <c r="F532" s="15" t="n">
        <v>614591.2</v>
      </c>
      <c r="G532" s="16" t="n">
        <f aca="false">ROUND(E532+F532,2)</f>
        <v>1718066.36</v>
      </c>
    </row>
    <row r="533" customFormat="false" ht="15" hidden="false" customHeight="false" outlineLevel="0" collapsed="false">
      <c r="A533" s="14" t="s">
        <v>10</v>
      </c>
      <c r="B533" s="14" t="n">
        <v>2026</v>
      </c>
      <c r="C533" s="14" t="n">
        <v>3</v>
      </c>
      <c r="D533" s="14" t="s">
        <v>52</v>
      </c>
      <c r="E533" s="15" t="n">
        <v>1174576.66</v>
      </c>
      <c r="F533" s="15" t="n">
        <v>640609.89</v>
      </c>
      <c r="G533" s="16" t="n">
        <f aca="false">ROUND(E533+F533,2)</f>
        <v>1815186.55</v>
      </c>
    </row>
    <row r="534" customFormat="false" ht="15" hidden="false" customHeight="false" outlineLevel="0" collapsed="false">
      <c r="A534" s="14" t="s">
        <v>10</v>
      </c>
      <c r="B534" s="14" t="n">
        <v>2026</v>
      </c>
      <c r="C534" s="14" t="n">
        <v>4</v>
      </c>
      <c r="D534" s="14" t="s">
        <v>53</v>
      </c>
      <c r="E534" s="15" t="n">
        <v>1235772.91</v>
      </c>
      <c r="F534" s="15" t="n">
        <v>767398.08</v>
      </c>
      <c r="G534" s="16" t="n">
        <f aca="false">ROUND(E534+F534,2)</f>
        <v>2003170.99</v>
      </c>
    </row>
    <row r="535" customFormat="false" ht="15" hidden="false" customHeight="false" outlineLevel="0" collapsed="false">
      <c r="A535" s="14" t="s">
        <v>10</v>
      </c>
      <c r="B535" s="14" t="n">
        <v>2026</v>
      </c>
      <c r="C535" s="14" t="n">
        <v>5</v>
      </c>
      <c r="D535" s="14" t="s">
        <v>54</v>
      </c>
      <c r="E535" s="15" t="n">
        <v>1140484</v>
      </c>
      <c r="F535" s="15" t="n">
        <v>628923.93</v>
      </c>
      <c r="G535" s="16" t="n">
        <f aca="false">ROUND(E535+F535,2)</f>
        <v>1769407.93</v>
      </c>
    </row>
    <row r="536" customFormat="false" ht="15" hidden="false" customHeight="false" outlineLevel="0" collapsed="false">
      <c r="A536" s="14" t="s">
        <v>10</v>
      </c>
      <c r="B536" s="14" t="n">
        <v>2026</v>
      </c>
      <c r="C536" s="14" t="n">
        <v>6</v>
      </c>
      <c r="D536" s="14" t="s">
        <v>55</v>
      </c>
      <c r="E536" s="15" t="n">
        <v>1234556.1</v>
      </c>
      <c r="F536" s="15" t="n">
        <v>662163.2</v>
      </c>
      <c r="G536" s="16" t="n">
        <f aca="false">ROUND(E536+F536,2)</f>
        <v>1896719.3</v>
      </c>
    </row>
    <row r="537" customFormat="false" ht="15" hidden="false" customHeight="false" outlineLevel="0" collapsed="false">
      <c r="A537" s="14" t="s">
        <v>10</v>
      </c>
      <c r="B537" s="14" t="n">
        <v>2026</v>
      </c>
      <c r="C537" s="14" t="n">
        <v>7</v>
      </c>
      <c r="D537" s="14" t="s">
        <v>56</v>
      </c>
      <c r="E537" s="15" t="n">
        <v>1300159.43</v>
      </c>
      <c r="F537" s="15" t="n">
        <v>734689.22</v>
      </c>
      <c r="G537" s="16" t="n">
        <f aca="false">ROUND(E537+F537,2)</f>
        <v>2034848.65</v>
      </c>
    </row>
    <row r="538" customFormat="false" ht="15" hidden="false" customHeight="false" outlineLevel="0" collapsed="false">
      <c r="A538" s="14" t="s">
        <v>39</v>
      </c>
      <c r="B538" s="14" t="n">
        <v>2021</v>
      </c>
      <c r="C538" s="14" t="n">
        <v>1</v>
      </c>
      <c r="D538" s="14" t="s">
        <v>50</v>
      </c>
      <c r="E538" s="15" t="n">
        <v>81054.34</v>
      </c>
      <c r="F538" s="15" t="n">
        <v>45303.35</v>
      </c>
      <c r="G538" s="16" t="n">
        <f aca="false">ROUND(E538+F538,2)</f>
        <v>126357.69</v>
      </c>
    </row>
    <row r="539" customFormat="false" ht="15" hidden="false" customHeight="false" outlineLevel="0" collapsed="false">
      <c r="A539" s="14" t="s">
        <v>39</v>
      </c>
      <c r="B539" s="14" t="n">
        <v>2021</v>
      </c>
      <c r="C539" s="14" t="n">
        <v>2</v>
      </c>
      <c r="D539" s="14" t="s">
        <v>51</v>
      </c>
      <c r="E539" s="15" t="n">
        <v>107190.86</v>
      </c>
      <c r="F539" s="15" t="n">
        <v>52718.07</v>
      </c>
      <c r="G539" s="16" t="n">
        <f aca="false">ROUND(E539+F539,2)</f>
        <v>159908.93</v>
      </c>
    </row>
    <row r="540" customFormat="false" ht="15" hidden="false" customHeight="false" outlineLevel="0" collapsed="false">
      <c r="A540" s="14" t="s">
        <v>39</v>
      </c>
      <c r="B540" s="14" t="n">
        <v>2021</v>
      </c>
      <c r="C540" s="14" t="n">
        <v>3</v>
      </c>
      <c r="D540" s="14" t="s">
        <v>52</v>
      </c>
      <c r="E540" s="15" t="n">
        <v>100081.09</v>
      </c>
      <c r="F540" s="15" t="n">
        <v>54571.26</v>
      </c>
      <c r="G540" s="16" t="n">
        <f aca="false">ROUND(E540+F540,2)</f>
        <v>154652.35</v>
      </c>
    </row>
    <row r="541" customFormat="false" ht="15" hidden="false" customHeight="false" outlineLevel="0" collapsed="false">
      <c r="A541" s="14" t="s">
        <v>39</v>
      </c>
      <c r="B541" s="14" t="n">
        <v>2021</v>
      </c>
      <c r="C541" s="14" t="n">
        <v>4</v>
      </c>
      <c r="D541" s="14" t="s">
        <v>53</v>
      </c>
      <c r="E541" s="15" t="n">
        <v>111429.42</v>
      </c>
      <c r="F541" s="15" t="n">
        <v>53775.45</v>
      </c>
      <c r="G541" s="16" t="n">
        <f aca="false">ROUND(E541+F541,2)</f>
        <v>165204.87</v>
      </c>
    </row>
    <row r="542" customFormat="false" ht="15" hidden="false" customHeight="false" outlineLevel="0" collapsed="false">
      <c r="A542" s="14" t="s">
        <v>39</v>
      </c>
      <c r="B542" s="14" t="n">
        <v>2021</v>
      </c>
      <c r="C542" s="14" t="n">
        <v>5</v>
      </c>
      <c r="D542" s="14" t="s">
        <v>54</v>
      </c>
      <c r="E542" s="15" t="n">
        <v>116657</v>
      </c>
      <c r="F542" s="15" t="n">
        <v>55545.12</v>
      </c>
      <c r="G542" s="16" t="n">
        <f aca="false">ROUND(E542+F542,2)</f>
        <v>172202.12</v>
      </c>
    </row>
    <row r="543" customFormat="false" ht="15" hidden="false" customHeight="false" outlineLevel="0" collapsed="false">
      <c r="A543" s="14" t="s">
        <v>39</v>
      </c>
      <c r="B543" s="14" t="n">
        <v>2021</v>
      </c>
      <c r="C543" s="14" t="n">
        <v>6</v>
      </c>
      <c r="D543" s="14" t="s">
        <v>55</v>
      </c>
      <c r="E543" s="15" t="n">
        <v>128317.45</v>
      </c>
      <c r="F543" s="15" t="n">
        <v>60328.94</v>
      </c>
      <c r="G543" s="16" t="n">
        <f aca="false">ROUND(E543+F543,2)</f>
        <v>188646.39</v>
      </c>
    </row>
    <row r="544" customFormat="false" ht="15" hidden="false" customHeight="false" outlineLevel="0" collapsed="false">
      <c r="A544" s="14" t="s">
        <v>39</v>
      </c>
      <c r="B544" s="14" t="n">
        <v>2021</v>
      </c>
      <c r="C544" s="14" t="n">
        <v>7</v>
      </c>
      <c r="D544" s="14" t="s">
        <v>56</v>
      </c>
      <c r="E544" s="15" t="n">
        <v>118657.95</v>
      </c>
      <c r="F544" s="15" t="n">
        <v>61900.1</v>
      </c>
      <c r="G544" s="16" t="n">
        <f aca="false">ROUND(E544+F544,2)</f>
        <v>180558.05</v>
      </c>
    </row>
    <row r="545" customFormat="false" ht="15" hidden="false" customHeight="false" outlineLevel="0" collapsed="false">
      <c r="A545" s="14" t="s">
        <v>39</v>
      </c>
      <c r="B545" s="14" t="n">
        <v>2021</v>
      </c>
      <c r="C545" s="14" t="n">
        <v>8</v>
      </c>
      <c r="D545" s="14" t="s">
        <v>57</v>
      </c>
      <c r="E545" s="15" t="n">
        <v>111837.23</v>
      </c>
      <c r="F545" s="15" t="n">
        <v>57014.39</v>
      </c>
      <c r="G545" s="16" t="n">
        <f aca="false">ROUND(E545+F545,2)</f>
        <v>168851.62</v>
      </c>
    </row>
    <row r="546" customFormat="false" ht="15" hidden="false" customHeight="false" outlineLevel="0" collapsed="false">
      <c r="A546" s="14" t="s">
        <v>39</v>
      </c>
      <c r="B546" s="14" t="n">
        <v>2021</v>
      </c>
      <c r="C546" s="14" t="n">
        <v>9</v>
      </c>
      <c r="D546" s="14" t="s">
        <v>58</v>
      </c>
      <c r="E546" s="15" t="n">
        <v>104931.08</v>
      </c>
      <c r="F546" s="15" t="n">
        <v>48713.87</v>
      </c>
      <c r="G546" s="16" t="n">
        <f aca="false">ROUND(E546+F546,2)</f>
        <v>153644.95</v>
      </c>
    </row>
    <row r="547" customFormat="false" ht="15" hidden="false" customHeight="false" outlineLevel="0" collapsed="false">
      <c r="A547" s="14" t="s">
        <v>39</v>
      </c>
      <c r="B547" s="14" t="n">
        <v>2021</v>
      </c>
      <c r="C547" s="14" t="n">
        <v>10</v>
      </c>
      <c r="D547" s="14" t="s">
        <v>59</v>
      </c>
      <c r="E547" s="15" t="n">
        <v>93249.03</v>
      </c>
      <c r="F547" s="15" t="n">
        <v>49475.18</v>
      </c>
      <c r="G547" s="16" t="n">
        <f aca="false">ROUND(E547+F547,2)</f>
        <v>142724.21</v>
      </c>
    </row>
    <row r="548" customFormat="false" ht="15" hidden="false" customHeight="false" outlineLevel="0" collapsed="false">
      <c r="A548" s="14" t="s">
        <v>39</v>
      </c>
      <c r="B548" s="14" t="n">
        <v>2021</v>
      </c>
      <c r="C548" s="14" t="n">
        <v>11</v>
      </c>
      <c r="D548" s="14" t="s">
        <v>60</v>
      </c>
      <c r="E548" s="15" t="n">
        <v>91130.22</v>
      </c>
      <c r="F548" s="15" t="n">
        <v>46483.52</v>
      </c>
      <c r="G548" s="16" t="n">
        <f aca="false">ROUND(E548+F548,2)</f>
        <v>137613.74</v>
      </c>
    </row>
    <row r="549" customFormat="false" ht="15" hidden="false" customHeight="false" outlineLevel="0" collapsed="false">
      <c r="A549" s="14" t="s">
        <v>39</v>
      </c>
      <c r="B549" s="14" t="n">
        <v>2021</v>
      </c>
      <c r="C549" s="14" t="n">
        <v>12</v>
      </c>
      <c r="D549" s="14" t="s">
        <v>61</v>
      </c>
      <c r="E549" s="15" t="n">
        <v>92743.44</v>
      </c>
      <c r="F549" s="15" t="n">
        <v>38080.43</v>
      </c>
      <c r="G549" s="16" t="n">
        <f aca="false">ROUND(E549+F549,2)</f>
        <v>130823.87</v>
      </c>
    </row>
    <row r="550" customFormat="false" ht="15" hidden="false" customHeight="false" outlineLevel="0" collapsed="false">
      <c r="A550" s="14" t="s">
        <v>39</v>
      </c>
      <c r="B550" s="14" t="n">
        <v>2022</v>
      </c>
      <c r="C550" s="14" t="n">
        <v>1</v>
      </c>
      <c r="D550" s="14" t="s">
        <v>50</v>
      </c>
      <c r="E550" s="15" t="n">
        <v>75017.38</v>
      </c>
      <c r="F550" s="15" t="n">
        <v>40081</v>
      </c>
      <c r="G550" s="16" t="n">
        <f aca="false">ROUND(E550+F550,2)</f>
        <v>115098.38</v>
      </c>
    </row>
    <row r="551" customFormat="false" ht="15" hidden="false" customHeight="false" outlineLevel="0" collapsed="false">
      <c r="A551" s="14" t="s">
        <v>39</v>
      </c>
      <c r="B551" s="14" t="n">
        <v>2022</v>
      </c>
      <c r="C551" s="14" t="n">
        <v>2</v>
      </c>
      <c r="D551" s="14" t="s">
        <v>51</v>
      </c>
      <c r="E551" s="15" t="n">
        <v>81631.07</v>
      </c>
      <c r="F551" s="15" t="n">
        <v>42329.91</v>
      </c>
      <c r="G551" s="16" t="n">
        <f aca="false">ROUND(E551+F551,2)</f>
        <v>123960.98</v>
      </c>
    </row>
    <row r="552" customFormat="false" ht="15" hidden="false" customHeight="false" outlineLevel="0" collapsed="false">
      <c r="A552" s="14" t="s">
        <v>39</v>
      </c>
      <c r="B552" s="14" t="n">
        <v>2022</v>
      </c>
      <c r="C552" s="14" t="n">
        <v>3</v>
      </c>
      <c r="D552" s="14" t="s">
        <v>52</v>
      </c>
      <c r="E552" s="15" t="n">
        <v>115208.66</v>
      </c>
      <c r="F552" s="15" t="n">
        <v>64916.4</v>
      </c>
      <c r="G552" s="16" t="n">
        <f aca="false">ROUND(E552+F552,2)</f>
        <v>180125.06</v>
      </c>
    </row>
    <row r="553" customFormat="false" ht="15" hidden="false" customHeight="false" outlineLevel="0" collapsed="false">
      <c r="A553" s="14" t="s">
        <v>39</v>
      </c>
      <c r="B553" s="14" t="n">
        <v>2022</v>
      </c>
      <c r="C553" s="14" t="n">
        <v>4</v>
      </c>
      <c r="D553" s="14" t="s">
        <v>53</v>
      </c>
      <c r="E553" s="15" t="n">
        <v>88268.41</v>
      </c>
      <c r="F553" s="15" t="n">
        <v>45763.64</v>
      </c>
      <c r="G553" s="16" t="n">
        <f aca="false">ROUND(E553+F553,2)</f>
        <v>134032.05</v>
      </c>
    </row>
    <row r="554" customFormat="false" ht="15" hidden="false" customHeight="false" outlineLevel="0" collapsed="false">
      <c r="A554" s="14" t="s">
        <v>39</v>
      </c>
      <c r="B554" s="14" t="n">
        <v>2022</v>
      </c>
      <c r="C554" s="14" t="n">
        <v>5</v>
      </c>
      <c r="D554" s="14" t="s">
        <v>54</v>
      </c>
      <c r="E554" s="15" t="n">
        <v>100794.83</v>
      </c>
      <c r="F554" s="15" t="n">
        <v>56028.45</v>
      </c>
      <c r="G554" s="16" t="n">
        <f aca="false">ROUND(E554+F554,2)</f>
        <v>156823.28</v>
      </c>
    </row>
    <row r="555" customFormat="false" ht="15" hidden="false" customHeight="false" outlineLevel="0" collapsed="false">
      <c r="A555" s="14" t="s">
        <v>39</v>
      </c>
      <c r="B555" s="14" t="n">
        <v>2022</v>
      </c>
      <c r="C555" s="14" t="n">
        <v>6</v>
      </c>
      <c r="D555" s="14" t="s">
        <v>55</v>
      </c>
      <c r="E555" s="15" t="n">
        <v>100695.46</v>
      </c>
      <c r="F555" s="15" t="n">
        <v>57125.09</v>
      </c>
      <c r="G555" s="16" t="n">
        <f aca="false">ROUND(E555+F555,2)</f>
        <v>157820.55</v>
      </c>
    </row>
    <row r="556" customFormat="false" ht="15" hidden="false" customHeight="false" outlineLevel="0" collapsed="false">
      <c r="A556" s="14" t="s">
        <v>39</v>
      </c>
      <c r="B556" s="14" t="n">
        <v>2022</v>
      </c>
      <c r="C556" s="14" t="n">
        <v>7</v>
      </c>
      <c r="D556" s="14" t="s">
        <v>56</v>
      </c>
      <c r="E556" s="15" t="n">
        <v>99222.97</v>
      </c>
      <c r="F556" s="15" t="n">
        <v>52096.74</v>
      </c>
      <c r="G556" s="16" t="n">
        <f aca="false">ROUND(E556+F556,2)</f>
        <v>151319.71</v>
      </c>
    </row>
    <row r="557" customFormat="false" ht="15" hidden="false" customHeight="false" outlineLevel="0" collapsed="false">
      <c r="A557" s="14" t="s">
        <v>39</v>
      </c>
      <c r="B557" s="14" t="n">
        <v>2022</v>
      </c>
      <c r="C557" s="14" t="n">
        <v>8</v>
      </c>
      <c r="D557" s="14" t="s">
        <v>57</v>
      </c>
      <c r="E557" s="15" t="n">
        <v>94552.43</v>
      </c>
      <c r="F557" s="15" t="n">
        <v>54293.68</v>
      </c>
      <c r="G557" s="16" t="n">
        <f aca="false">ROUND(E557+F557,2)</f>
        <v>148846.11</v>
      </c>
    </row>
    <row r="558" customFormat="false" ht="15" hidden="false" customHeight="false" outlineLevel="0" collapsed="false">
      <c r="A558" s="14" t="s">
        <v>39</v>
      </c>
      <c r="B558" s="14" t="n">
        <v>2022</v>
      </c>
      <c r="C558" s="14" t="n">
        <v>9</v>
      </c>
      <c r="D558" s="14" t="s">
        <v>58</v>
      </c>
      <c r="E558" s="15" t="n">
        <v>110653.48</v>
      </c>
      <c r="F558" s="15" t="n">
        <v>71948.22</v>
      </c>
      <c r="G558" s="16" t="n">
        <f aca="false">ROUND(E558+F558,2)</f>
        <v>182601.7</v>
      </c>
    </row>
    <row r="559" customFormat="false" ht="15" hidden="false" customHeight="false" outlineLevel="0" collapsed="false">
      <c r="A559" s="14" t="s">
        <v>39</v>
      </c>
      <c r="B559" s="14" t="n">
        <v>2022</v>
      </c>
      <c r="C559" s="14" t="n">
        <v>10</v>
      </c>
      <c r="D559" s="14" t="s">
        <v>59</v>
      </c>
      <c r="E559" s="15" t="n">
        <v>97716.74</v>
      </c>
      <c r="F559" s="15" t="n">
        <v>60875.23</v>
      </c>
      <c r="G559" s="16" t="n">
        <f aca="false">ROUND(E559+F559,2)</f>
        <v>158591.97</v>
      </c>
    </row>
    <row r="560" customFormat="false" ht="15" hidden="false" customHeight="false" outlineLevel="0" collapsed="false">
      <c r="A560" s="14" t="s">
        <v>39</v>
      </c>
      <c r="B560" s="14" t="n">
        <v>2022</v>
      </c>
      <c r="C560" s="14" t="n">
        <v>11</v>
      </c>
      <c r="D560" s="14" t="s">
        <v>60</v>
      </c>
      <c r="E560" s="15" t="n">
        <v>85675.97</v>
      </c>
      <c r="F560" s="15" t="n">
        <v>51680.23</v>
      </c>
      <c r="G560" s="16" t="n">
        <f aca="false">ROUND(E560+F560,2)</f>
        <v>137356.2</v>
      </c>
    </row>
    <row r="561" customFormat="false" ht="15" hidden="false" customHeight="false" outlineLevel="0" collapsed="false">
      <c r="A561" s="14" t="s">
        <v>39</v>
      </c>
      <c r="B561" s="14" t="n">
        <v>2022</v>
      </c>
      <c r="C561" s="14" t="n">
        <v>12</v>
      </c>
      <c r="D561" s="14" t="s">
        <v>61</v>
      </c>
      <c r="E561" s="15" t="n">
        <v>76905.7</v>
      </c>
      <c r="F561" s="15" t="n">
        <v>40860.43</v>
      </c>
      <c r="G561" s="16" t="n">
        <f aca="false">ROUND(E561+F561,2)</f>
        <v>117766.13</v>
      </c>
    </row>
    <row r="562" customFormat="false" ht="15" hidden="false" customHeight="false" outlineLevel="0" collapsed="false">
      <c r="A562" s="14" t="s">
        <v>39</v>
      </c>
      <c r="B562" s="14" t="n">
        <v>2023</v>
      </c>
      <c r="C562" s="14" t="n">
        <v>1</v>
      </c>
      <c r="D562" s="14" t="s">
        <v>50</v>
      </c>
      <c r="E562" s="15" t="n">
        <v>73421.98</v>
      </c>
      <c r="F562" s="15" t="n">
        <v>47227.14</v>
      </c>
      <c r="G562" s="16" t="n">
        <f aca="false">ROUND(E562+F562,2)</f>
        <v>120649.12</v>
      </c>
    </row>
    <row r="563" customFormat="false" ht="15" hidden="false" customHeight="false" outlineLevel="0" collapsed="false">
      <c r="A563" s="14" t="s">
        <v>39</v>
      </c>
      <c r="B563" s="14" t="n">
        <v>2023</v>
      </c>
      <c r="C563" s="14" t="n">
        <v>2</v>
      </c>
      <c r="D563" s="14" t="s">
        <v>51</v>
      </c>
      <c r="E563" s="15" t="n">
        <v>79532.98</v>
      </c>
      <c r="F563" s="15" t="n">
        <v>41789.14</v>
      </c>
      <c r="G563" s="16" t="n">
        <f aca="false">ROUND(E563+F563,2)</f>
        <v>121322.12</v>
      </c>
    </row>
    <row r="564" customFormat="false" ht="15" hidden="false" customHeight="false" outlineLevel="0" collapsed="false">
      <c r="A564" s="14" t="s">
        <v>39</v>
      </c>
      <c r="B564" s="14" t="n">
        <v>2023</v>
      </c>
      <c r="C564" s="14" t="n">
        <v>3</v>
      </c>
      <c r="D564" s="14" t="s">
        <v>52</v>
      </c>
      <c r="E564" s="15" t="n">
        <v>129302.24</v>
      </c>
      <c r="F564" s="15" t="n">
        <v>71453.02</v>
      </c>
      <c r="G564" s="16" t="n">
        <f aca="false">ROUND(E564+F564,2)</f>
        <v>200755.26</v>
      </c>
    </row>
    <row r="565" customFormat="false" ht="15" hidden="false" customHeight="false" outlineLevel="0" collapsed="false">
      <c r="A565" s="14" t="s">
        <v>39</v>
      </c>
      <c r="B565" s="14" t="n">
        <v>2023</v>
      </c>
      <c r="C565" s="14" t="n">
        <v>4</v>
      </c>
      <c r="D565" s="14" t="s">
        <v>53</v>
      </c>
      <c r="E565" s="15" t="n">
        <v>114702.79</v>
      </c>
      <c r="F565" s="15" t="n">
        <v>52739.11</v>
      </c>
      <c r="G565" s="16" t="n">
        <f aca="false">ROUND(E565+F565,2)</f>
        <v>167441.9</v>
      </c>
    </row>
    <row r="566" customFormat="false" ht="15" hidden="false" customHeight="false" outlineLevel="0" collapsed="false">
      <c r="A566" s="14" t="s">
        <v>39</v>
      </c>
      <c r="B566" s="14" t="n">
        <v>2023</v>
      </c>
      <c r="C566" s="14" t="n">
        <v>5</v>
      </c>
      <c r="D566" s="14" t="s">
        <v>54</v>
      </c>
      <c r="E566" s="15" t="n">
        <v>144462.19</v>
      </c>
      <c r="F566" s="15" t="n">
        <v>62154.94</v>
      </c>
      <c r="G566" s="16" t="n">
        <f aca="false">ROUND(E566+F566,2)</f>
        <v>206617.13</v>
      </c>
    </row>
    <row r="567" customFormat="false" ht="15" hidden="false" customHeight="false" outlineLevel="0" collapsed="false">
      <c r="A567" s="14" t="s">
        <v>39</v>
      </c>
      <c r="B567" s="14" t="n">
        <v>2023</v>
      </c>
      <c r="C567" s="14" t="n">
        <v>6</v>
      </c>
      <c r="D567" s="14" t="s">
        <v>55</v>
      </c>
      <c r="E567" s="15" t="n">
        <v>130667.48</v>
      </c>
      <c r="F567" s="15" t="n">
        <v>62635.7</v>
      </c>
      <c r="G567" s="16" t="n">
        <f aca="false">ROUND(E567+F567,2)</f>
        <v>193303.18</v>
      </c>
    </row>
    <row r="568" customFormat="false" ht="15" hidden="false" customHeight="false" outlineLevel="0" collapsed="false">
      <c r="A568" s="14" t="s">
        <v>39</v>
      </c>
      <c r="B568" s="14" t="n">
        <v>2023</v>
      </c>
      <c r="C568" s="14" t="n">
        <v>7</v>
      </c>
      <c r="D568" s="14" t="s">
        <v>56</v>
      </c>
      <c r="E568" s="15" t="n">
        <v>94240.47</v>
      </c>
      <c r="F568" s="15" t="n">
        <v>55753.46</v>
      </c>
      <c r="G568" s="16" t="n">
        <f aca="false">ROUND(E568+F568,2)</f>
        <v>149993.93</v>
      </c>
    </row>
    <row r="569" customFormat="false" ht="15" hidden="false" customHeight="false" outlineLevel="0" collapsed="false">
      <c r="A569" s="14" t="s">
        <v>39</v>
      </c>
      <c r="B569" s="14" t="n">
        <v>2023</v>
      </c>
      <c r="C569" s="14" t="n">
        <v>8</v>
      </c>
      <c r="D569" s="14" t="s">
        <v>57</v>
      </c>
      <c r="E569" s="15" t="n">
        <v>119358.92</v>
      </c>
      <c r="F569" s="15" t="n">
        <v>54574.15</v>
      </c>
      <c r="G569" s="16" t="n">
        <f aca="false">ROUND(E569+F569,2)</f>
        <v>173933.07</v>
      </c>
    </row>
    <row r="570" customFormat="false" ht="15" hidden="false" customHeight="false" outlineLevel="0" collapsed="false">
      <c r="A570" s="14" t="s">
        <v>39</v>
      </c>
      <c r="B570" s="14" t="n">
        <v>2023</v>
      </c>
      <c r="C570" s="14" t="n">
        <v>9</v>
      </c>
      <c r="D570" s="14" t="s">
        <v>58</v>
      </c>
      <c r="E570" s="15" t="n">
        <v>113798.79</v>
      </c>
      <c r="F570" s="15" t="n">
        <v>60537.1</v>
      </c>
      <c r="G570" s="16" t="n">
        <f aca="false">ROUND(E570+F570,2)</f>
        <v>174335.89</v>
      </c>
    </row>
    <row r="571" customFormat="false" ht="15" hidden="false" customHeight="false" outlineLevel="0" collapsed="false">
      <c r="A571" s="14" t="s">
        <v>39</v>
      </c>
      <c r="B571" s="14" t="n">
        <v>2023</v>
      </c>
      <c r="C571" s="14" t="n">
        <v>10</v>
      </c>
      <c r="D571" s="14" t="s">
        <v>59</v>
      </c>
      <c r="E571" s="15" t="n">
        <v>102320.43</v>
      </c>
      <c r="F571" s="15" t="n">
        <v>52303.28</v>
      </c>
      <c r="G571" s="16" t="n">
        <f aca="false">ROUND(E571+F571,2)</f>
        <v>154623.71</v>
      </c>
    </row>
    <row r="572" customFormat="false" ht="15" hidden="false" customHeight="false" outlineLevel="0" collapsed="false">
      <c r="A572" s="14" t="s">
        <v>39</v>
      </c>
      <c r="B572" s="14" t="n">
        <v>2023</v>
      </c>
      <c r="C572" s="14" t="n">
        <v>11</v>
      </c>
      <c r="D572" s="14" t="s">
        <v>60</v>
      </c>
      <c r="E572" s="15" t="n">
        <v>93124.07</v>
      </c>
      <c r="F572" s="15" t="n">
        <v>47098.94</v>
      </c>
      <c r="G572" s="16" t="n">
        <f aca="false">ROUND(E572+F572,2)</f>
        <v>140223.01</v>
      </c>
    </row>
    <row r="573" customFormat="false" ht="15" hidden="false" customHeight="false" outlineLevel="0" collapsed="false">
      <c r="A573" s="14" t="s">
        <v>39</v>
      </c>
      <c r="B573" s="14" t="n">
        <v>2023</v>
      </c>
      <c r="C573" s="14" t="n">
        <v>12</v>
      </c>
      <c r="D573" s="14" t="s">
        <v>61</v>
      </c>
      <c r="E573" s="15" t="n">
        <v>95025.86</v>
      </c>
      <c r="F573" s="15" t="n">
        <v>48507.47</v>
      </c>
      <c r="G573" s="16" t="n">
        <f aca="false">ROUND(E573+F573,2)</f>
        <v>143533.33</v>
      </c>
    </row>
    <row r="574" customFormat="false" ht="15" hidden="false" customHeight="false" outlineLevel="0" collapsed="false">
      <c r="A574" s="14" t="s">
        <v>39</v>
      </c>
      <c r="B574" s="14" t="n">
        <v>2024</v>
      </c>
      <c r="C574" s="14" t="n">
        <v>1</v>
      </c>
      <c r="D574" s="14" t="s">
        <v>50</v>
      </c>
      <c r="E574" s="15" t="n">
        <v>90879.95</v>
      </c>
      <c r="F574" s="15" t="n">
        <v>45919.84</v>
      </c>
      <c r="G574" s="16" t="n">
        <f aca="false">ROUND(E574+F574,2)</f>
        <v>136799.79</v>
      </c>
    </row>
    <row r="575" customFormat="false" ht="15" hidden="false" customHeight="false" outlineLevel="0" collapsed="false">
      <c r="A575" s="14" t="s">
        <v>39</v>
      </c>
      <c r="B575" s="14" t="n">
        <v>2024</v>
      </c>
      <c r="C575" s="14" t="n">
        <v>2</v>
      </c>
      <c r="D575" s="14" t="s">
        <v>51</v>
      </c>
      <c r="E575" s="15" t="n">
        <v>84041.17</v>
      </c>
      <c r="F575" s="15" t="n">
        <v>40528.09</v>
      </c>
      <c r="G575" s="16" t="n">
        <f aca="false">ROUND(E575+F575,2)</f>
        <v>124569.26</v>
      </c>
    </row>
    <row r="576" customFormat="false" ht="15" hidden="false" customHeight="false" outlineLevel="0" collapsed="false">
      <c r="A576" s="14" t="s">
        <v>39</v>
      </c>
      <c r="B576" s="14" t="n">
        <v>2024</v>
      </c>
      <c r="C576" s="14" t="n">
        <v>3</v>
      </c>
      <c r="D576" s="14" t="s">
        <v>52</v>
      </c>
      <c r="E576" s="15" t="n">
        <v>104244.43</v>
      </c>
      <c r="F576" s="15" t="n">
        <v>52737.15</v>
      </c>
      <c r="G576" s="16" t="n">
        <f aca="false">ROUND(E576+F576,2)</f>
        <v>156981.58</v>
      </c>
    </row>
    <row r="577" customFormat="false" ht="15" hidden="false" customHeight="false" outlineLevel="0" collapsed="false">
      <c r="A577" s="14" t="s">
        <v>39</v>
      </c>
      <c r="B577" s="14" t="n">
        <v>2024</v>
      </c>
      <c r="C577" s="14" t="n">
        <v>4</v>
      </c>
      <c r="D577" s="14" t="s">
        <v>53</v>
      </c>
      <c r="E577" s="15" t="n">
        <v>107478.79</v>
      </c>
      <c r="F577" s="15" t="n">
        <v>50403.3</v>
      </c>
      <c r="G577" s="16" t="n">
        <f aca="false">ROUND(E577+F577,2)</f>
        <v>157882.09</v>
      </c>
    </row>
    <row r="578" customFormat="false" ht="15" hidden="false" customHeight="false" outlineLevel="0" collapsed="false">
      <c r="A578" s="14" t="s">
        <v>39</v>
      </c>
      <c r="B578" s="14" t="n">
        <v>2024</v>
      </c>
      <c r="C578" s="14" t="n">
        <v>5</v>
      </c>
      <c r="D578" s="14" t="s">
        <v>54</v>
      </c>
      <c r="E578" s="15" t="n">
        <v>122697.2</v>
      </c>
      <c r="F578" s="15" t="n">
        <v>55005.03</v>
      </c>
      <c r="G578" s="16" t="n">
        <f aca="false">ROUND(E578+F578,2)</f>
        <v>177702.23</v>
      </c>
    </row>
    <row r="579" customFormat="false" ht="15" hidden="false" customHeight="false" outlineLevel="0" collapsed="false">
      <c r="A579" s="14" t="s">
        <v>39</v>
      </c>
      <c r="B579" s="14" t="n">
        <v>2024</v>
      </c>
      <c r="C579" s="14" t="n">
        <v>6</v>
      </c>
      <c r="D579" s="14" t="s">
        <v>55</v>
      </c>
      <c r="E579" s="15" t="n">
        <v>42537.98</v>
      </c>
      <c r="F579" s="15" t="n">
        <v>17824.5</v>
      </c>
      <c r="G579" s="16" t="n">
        <f aca="false">ROUND(E579+F579,2)</f>
        <v>60362.48</v>
      </c>
    </row>
    <row r="580" customFormat="false" ht="15" hidden="false" customHeight="false" outlineLevel="0" collapsed="false">
      <c r="A580" s="14" t="s">
        <v>39</v>
      </c>
      <c r="B580" s="14" t="n">
        <v>2024</v>
      </c>
      <c r="C580" s="14" t="n">
        <v>7</v>
      </c>
      <c r="D580" s="14" t="s">
        <v>56</v>
      </c>
      <c r="E580" s="15" t="n">
        <v>130195.13</v>
      </c>
      <c r="F580" s="15" t="n">
        <v>58445.29</v>
      </c>
      <c r="G580" s="16" t="n">
        <f aca="false">ROUND(E580+F580,2)</f>
        <v>188640.42</v>
      </c>
    </row>
    <row r="581" customFormat="false" ht="15" hidden="false" customHeight="false" outlineLevel="0" collapsed="false">
      <c r="A581" s="14" t="s">
        <v>39</v>
      </c>
      <c r="B581" s="14" t="n">
        <v>2024</v>
      </c>
      <c r="C581" s="14" t="n">
        <v>8</v>
      </c>
      <c r="D581" s="14" t="s">
        <v>57</v>
      </c>
      <c r="E581" s="15" t="n">
        <v>136014.71</v>
      </c>
      <c r="F581" s="15" t="n">
        <v>64827.09</v>
      </c>
      <c r="G581" s="16" t="n">
        <f aca="false">ROUND(E581+F581,2)</f>
        <v>200841.8</v>
      </c>
    </row>
    <row r="582" customFormat="false" ht="15" hidden="false" customHeight="false" outlineLevel="0" collapsed="false">
      <c r="A582" s="14" t="s">
        <v>39</v>
      </c>
      <c r="B582" s="14" t="n">
        <v>2024</v>
      </c>
      <c r="C582" s="14" t="n">
        <v>9</v>
      </c>
      <c r="D582" s="14" t="s">
        <v>58</v>
      </c>
      <c r="E582" s="15" t="n">
        <v>105902.01</v>
      </c>
      <c r="F582" s="15" t="n">
        <v>47157.39</v>
      </c>
      <c r="G582" s="16" t="n">
        <f aca="false">ROUND(E582+F582,2)</f>
        <v>153059.4</v>
      </c>
    </row>
    <row r="583" customFormat="false" ht="15" hidden="false" customHeight="false" outlineLevel="0" collapsed="false">
      <c r="A583" s="14" t="s">
        <v>39</v>
      </c>
      <c r="B583" s="14" t="n">
        <v>2024</v>
      </c>
      <c r="C583" s="14" t="n">
        <v>10</v>
      </c>
      <c r="D583" s="14" t="s">
        <v>59</v>
      </c>
      <c r="E583" s="15" t="n">
        <v>113572.1</v>
      </c>
      <c r="F583" s="15" t="n">
        <v>59538.5</v>
      </c>
      <c r="G583" s="16" t="n">
        <f aca="false">ROUND(E583+F583,2)</f>
        <v>173110.6</v>
      </c>
    </row>
    <row r="584" customFormat="false" ht="15" hidden="false" customHeight="false" outlineLevel="0" collapsed="false">
      <c r="A584" s="14" t="s">
        <v>39</v>
      </c>
      <c r="B584" s="14" t="n">
        <v>2024</v>
      </c>
      <c r="C584" s="14" t="n">
        <v>11</v>
      </c>
      <c r="D584" s="14" t="s">
        <v>60</v>
      </c>
      <c r="E584" s="15" t="n">
        <v>111512.93</v>
      </c>
      <c r="F584" s="15" t="n">
        <v>52287.73</v>
      </c>
      <c r="G584" s="16" t="n">
        <f aca="false">ROUND(E584+F584,2)</f>
        <v>163800.66</v>
      </c>
    </row>
    <row r="585" customFormat="false" ht="15" hidden="false" customHeight="false" outlineLevel="0" collapsed="false">
      <c r="A585" s="14" t="s">
        <v>39</v>
      </c>
      <c r="B585" s="14" t="n">
        <v>2024</v>
      </c>
      <c r="C585" s="14" t="n">
        <v>12</v>
      </c>
      <c r="D585" s="14" t="s">
        <v>61</v>
      </c>
      <c r="E585" s="15" t="n">
        <v>121883.75</v>
      </c>
      <c r="F585" s="15" t="n">
        <v>72308.87</v>
      </c>
      <c r="G585" s="16" t="n">
        <f aca="false">ROUND(E585+F585,2)</f>
        <v>194192.62</v>
      </c>
    </row>
    <row r="586" customFormat="false" ht="15" hidden="false" customHeight="false" outlineLevel="0" collapsed="false">
      <c r="A586" s="14" t="s">
        <v>39</v>
      </c>
      <c r="B586" s="14" t="n">
        <v>2025</v>
      </c>
      <c r="C586" s="14" t="n">
        <v>1</v>
      </c>
      <c r="D586" s="14" t="s">
        <v>50</v>
      </c>
      <c r="E586" s="15" t="n">
        <v>120223.86</v>
      </c>
      <c r="F586" s="15" t="n">
        <v>51911.93</v>
      </c>
      <c r="G586" s="16" t="n">
        <f aca="false">ROUND(E586+F586,2)</f>
        <v>172135.79</v>
      </c>
    </row>
    <row r="587" customFormat="false" ht="15" hidden="false" customHeight="false" outlineLevel="0" collapsed="false">
      <c r="A587" s="14" t="s">
        <v>39</v>
      </c>
      <c r="B587" s="14" t="n">
        <v>2025</v>
      </c>
      <c r="C587" s="14" t="n">
        <v>2</v>
      </c>
      <c r="D587" s="14" t="s">
        <v>51</v>
      </c>
      <c r="E587" s="15" t="n">
        <v>118103.75</v>
      </c>
      <c r="F587" s="15" t="n">
        <v>45806.95</v>
      </c>
      <c r="G587" s="16" t="n">
        <f aca="false">ROUND(E587+F587,2)</f>
        <v>163910.7</v>
      </c>
    </row>
    <row r="588" customFormat="false" ht="15" hidden="false" customHeight="false" outlineLevel="0" collapsed="false">
      <c r="A588" s="14" t="s">
        <v>39</v>
      </c>
      <c r="B588" s="14" t="n">
        <v>2025</v>
      </c>
      <c r="C588" s="14" t="n">
        <v>3</v>
      </c>
      <c r="D588" s="14" t="s">
        <v>52</v>
      </c>
      <c r="E588" s="15" t="n">
        <v>105240.44</v>
      </c>
      <c r="F588" s="15" t="n">
        <v>45957.81</v>
      </c>
      <c r="G588" s="16" t="n">
        <f aca="false">ROUND(E588+F588,2)</f>
        <v>151198.25</v>
      </c>
    </row>
    <row r="589" customFormat="false" ht="15" hidden="false" customHeight="false" outlineLevel="0" collapsed="false">
      <c r="A589" s="14" t="s">
        <v>39</v>
      </c>
      <c r="B589" s="14" t="n">
        <v>2025</v>
      </c>
      <c r="C589" s="14" t="n">
        <v>4</v>
      </c>
      <c r="D589" s="14" t="s">
        <v>53</v>
      </c>
      <c r="E589" s="15" t="n">
        <v>118080.97</v>
      </c>
      <c r="F589" s="15" t="n">
        <v>52102.05</v>
      </c>
      <c r="G589" s="16" t="n">
        <f aca="false">ROUND(E589+F589,2)</f>
        <v>170183.02</v>
      </c>
    </row>
    <row r="590" customFormat="false" ht="15" hidden="false" customHeight="false" outlineLevel="0" collapsed="false">
      <c r="A590" s="14" t="s">
        <v>39</v>
      </c>
      <c r="B590" s="14" t="n">
        <v>2025</v>
      </c>
      <c r="C590" s="14" t="n">
        <v>5</v>
      </c>
      <c r="D590" s="14" t="s">
        <v>54</v>
      </c>
      <c r="E590" s="15" t="n">
        <v>126820.18</v>
      </c>
      <c r="F590" s="15" t="n">
        <v>56956.4</v>
      </c>
      <c r="G590" s="16" t="n">
        <f aca="false">ROUND(E590+F590,2)</f>
        <v>183776.58</v>
      </c>
    </row>
    <row r="591" customFormat="false" ht="15" hidden="false" customHeight="false" outlineLevel="0" collapsed="false">
      <c r="A591" s="14" t="s">
        <v>39</v>
      </c>
      <c r="B591" s="14" t="n">
        <v>2025</v>
      </c>
      <c r="C591" s="14" t="n">
        <v>6</v>
      </c>
      <c r="D591" s="14" t="s">
        <v>55</v>
      </c>
      <c r="E591" s="15" t="n">
        <v>132693.37</v>
      </c>
      <c r="F591" s="15" t="n">
        <v>61199.7</v>
      </c>
      <c r="G591" s="16" t="n">
        <f aca="false">ROUND(E591+F591,2)</f>
        <v>193893.07</v>
      </c>
    </row>
    <row r="592" customFormat="false" ht="15" hidden="false" customHeight="false" outlineLevel="0" collapsed="false">
      <c r="A592" s="14" t="s">
        <v>39</v>
      </c>
      <c r="B592" s="14" t="n">
        <v>2025</v>
      </c>
      <c r="C592" s="14" t="n">
        <v>7</v>
      </c>
      <c r="D592" s="14" t="s">
        <v>56</v>
      </c>
      <c r="E592" s="15" t="n">
        <v>128732</v>
      </c>
      <c r="F592" s="15" t="n">
        <v>60441.92</v>
      </c>
      <c r="G592" s="16" t="n">
        <f aca="false">ROUND(E592+F592,2)</f>
        <v>189173.92</v>
      </c>
    </row>
    <row r="593" customFormat="false" ht="15" hidden="false" customHeight="false" outlineLevel="0" collapsed="false">
      <c r="A593" s="14" t="s">
        <v>39</v>
      </c>
      <c r="B593" s="14" t="n">
        <v>2025</v>
      </c>
      <c r="C593" s="14" t="n">
        <v>8</v>
      </c>
      <c r="D593" s="14" t="s">
        <v>57</v>
      </c>
      <c r="E593" s="15" t="n">
        <v>120275.52</v>
      </c>
      <c r="F593" s="15" t="n">
        <v>70814.97</v>
      </c>
      <c r="G593" s="16" t="n">
        <f aca="false">ROUND(E593+F593,2)</f>
        <v>191090.49</v>
      </c>
    </row>
    <row r="594" customFormat="false" ht="15" hidden="false" customHeight="false" outlineLevel="0" collapsed="false">
      <c r="A594" s="14" t="s">
        <v>39</v>
      </c>
      <c r="B594" s="14" t="n">
        <v>2025</v>
      </c>
      <c r="C594" s="14" t="n">
        <v>9</v>
      </c>
      <c r="D594" s="14" t="s">
        <v>58</v>
      </c>
      <c r="E594" s="15" t="n">
        <v>101637.88</v>
      </c>
      <c r="F594" s="15" t="n">
        <v>52309.57</v>
      </c>
      <c r="G594" s="16" t="n">
        <f aca="false">ROUND(E594+F594,2)</f>
        <v>153947.45</v>
      </c>
    </row>
    <row r="595" customFormat="false" ht="15" hidden="false" customHeight="false" outlineLevel="0" collapsed="false">
      <c r="A595" s="14" t="s">
        <v>39</v>
      </c>
      <c r="B595" s="14" t="n">
        <v>2025</v>
      </c>
      <c r="C595" s="14" t="n">
        <v>10</v>
      </c>
      <c r="D595" s="14" t="s">
        <v>59</v>
      </c>
      <c r="E595" s="15" t="n">
        <v>94746.27</v>
      </c>
      <c r="F595" s="15" t="n">
        <v>52763.88</v>
      </c>
      <c r="G595" s="16" t="n">
        <f aca="false">ROUND(E595+F595,2)</f>
        <v>147510.15</v>
      </c>
    </row>
    <row r="596" customFormat="false" ht="15" hidden="false" customHeight="false" outlineLevel="0" collapsed="false">
      <c r="A596" s="14" t="s">
        <v>39</v>
      </c>
      <c r="B596" s="14" t="n">
        <v>2025</v>
      </c>
      <c r="C596" s="14" t="n">
        <v>11</v>
      </c>
      <c r="D596" s="14" t="s">
        <v>60</v>
      </c>
      <c r="E596" s="15" t="n">
        <v>73603.7</v>
      </c>
      <c r="F596" s="15" t="n">
        <v>37199.98</v>
      </c>
      <c r="G596" s="16" t="n">
        <f aca="false">ROUND(E596+F596,2)</f>
        <v>110803.68</v>
      </c>
    </row>
    <row r="597" customFormat="false" ht="15" hidden="false" customHeight="false" outlineLevel="0" collapsed="false">
      <c r="A597" s="14" t="s">
        <v>39</v>
      </c>
      <c r="B597" s="14" t="n">
        <v>2025</v>
      </c>
      <c r="C597" s="14" t="n">
        <v>12</v>
      </c>
      <c r="D597" s="14" t="s">
        <v>61</v>
      </c>
      <c r="E597" s="15" t="n">
        <v>90731.92</v>
      </c>
      <c r="F597" s="15" t="n">
        <v>39059.12</v>
      </c>
      <c r="G597" s="16" t="n">
        <f aca="false">ROUND(E597+F597,2)</f>
        <v>129791.04</v>
      </c>
    </row>
    <row r="598" customFormat="false" ht="15" hidden="false" customHeight="false" outlineLevel="0" collapsed="false">
      <c r="A598" s="14" t="s">
        <v>39</v>
      </c>
      <c r="B598" s="14" t="n">
        <v>2026</v>
      </c>
      <c r="C598" s="14" t="n">
        <v>1</v>
      </c>
      <c r="D598" s="14" t="s">
        <v>50</v>
      </c>
      <c r="E598" s="15" t="n">
        <v>88222.85</v>
      </c>
      <c r="F598" s="15" t="n">
        <v>46596.07</v>
      </c>
      <c r="G598" s="16" t="n">
        <f aca="false">ROUND(E598+F598,2)</f>
        <v>134818.92</v>
      </c>
    </row>
    <row r="599" customFormat="false" ht="15" hidden="false" customHeight="false" outlineLevel="0" collapsed="false">
      <c r="A599" s="14" t="s">
        <v>39</v>
      </c>
      <c r="B599" s="14" t="n">
        <v>2026</v>
      </c>
      <c r="C599" s="14" t="n">
        <v>2</v>
      </c>
      <c r="D599" s="14" t="s">
        <v>51</v>
      </c>
      <c r="E599" s="15" t="n">
        <v>106460.17</v>
      </c>
      <c r="F599" s="15" t="n">
        <v>46285.16</v>
      </c>
      <c r="G599" s="16" t="n">
        <f aca="false">ROUND(E599+F599,2)</f>
        <v>152745.33</v>
      </c>
    </row>
    <row r="600" customFormat="false" ht="15" hidden="false" customHeight="false" outlineLevel="0" collapsed="false">
      <c r="A600" s="14" t="s">
        <v>39</v>
      </c>
      <c r="B600" s="14" t="n">
        <v>2026</v>
      </c>
      <c r="C600" s="14" t="n">
        <v>3</v>
      </c>
      <c r="D600" s="14" t="s">
        <v>52</v>
      </c>
      <c r="E600" s="15" t="n">
        <v>133442.01</v>
      </c>
      <c r="F600" s="15" t="n">
        <v>62722.4</v>
      </c>
      <c r="G600" s="16" t="n">
        <f aca="false">ROUND(E600+F600,2)</f>
        <v>196164.41</v>
      </c>
    </row>
    <row r="601" customFormat="false" ht="15" hidden="false" customHeight="false" outlineLevel="0" collapsed="false">
      <c r="A601" s="14" t="s">
        <v>39</v>
      </c>
      <c r="B601" s="14" t="n">
        <v>2026</v>
      </c>
      <c r="C601" s="14" t="n">
        <v>4</v>
      </c>
      <c r="D601" s="14" t="s">
        <v>53</v>
      </c>
      <c r="E601" s="15" t="n">
        <v>125461.48</v>
      </c>
      <c r="F601" s="15" t="n">
        <v>61451.27</v>
      </c>
      <c r="G601" s="16" t="n">
        <f aca="false">ROUND(E601+F601,2)</f>
        <v>186912.75</v>
      </c>
    </row>
    <row r="602" customFormat="false" ht="15" hidden="false" customHeight="false" outlineLevel="0" collapsed="false">
      <c r="A602" s="14" t="s">
        <v>39</v>
      </c>
      <c r="B602" s="14" t="n">
        <v>2026</v>
      </c>
      <c r="C602" s="14" t="n">
        <v>5</v>
      </c>
      <c r="D602" s="14" t="s">
        <v>54</v>
      </c>
      <c r="E602" s="15" t="n">
        <v>105154.86</v>
      </c>
      <c r="F602" s="15" t="n">
        <v>59931.85</v>
      </c>
      <c r="G602" s="16" t="n">
        <f aca="false">ROUND(E602+F602,2)</f>
        <v>165086.71</v>
      </c>
    </row>
    <row r="603" customFormat="false" ht="15" hidden="false" customHeight="false" outlineLevel="0" collapsed="false">
      <c r="A603" s="14" t="s">
        <v>39</v>
      </c>
      <c r="B603" s="14" t="n">
        <v>2026</v>
      </c>
      <c r="C603" s="14" t="n">
        <v>6</v>
      </c>
      <c r="D603" s="14" t="s">
        <v>55</v>
      </c>
      <c r="E603" s="15" t="n">
        <v>126603.88</v>
      </c>
      <c r="F603" s="15" t="n">
        <v>66637.27</v>
      </c>
      <c r="G603" s="16" t="n">
        <f aca="false">ROUND(E603+F603,2)</f>
        <v>193241.15</v>
      </c>
    </row>
    <row r="604" customFormat="false" ht="15" hidden="false" customHeight="false" outlineLevel="0" collapsed="false">
      <c r="A604" s="14" t="s">
        <v>39</v>
      </c>
      <c r="B604" s="14" t="n">
        <v>2026</v>
      </c>
      <c r="C604" s="14" t="n">
        <v>7</v>
      </c>
      <c r="D604" s="14" t="s">
        <v>56</v>
      </c>
      <c r="E604" s="15" t="n">
        <v>126612.4</v>
      </c>
      <c r="F604" s="15" t="n">
        <v>67929.32</v>
      </c>
      <c r="G604" s="16" t="n">
        <f aca="false">ROUND(E604+F604,2)</f>
        <v>194541.72</v>
      </c>
    </row>
    <row r="605" customFormat="false" ht="15" hidden="false" customHeight="false" outlineLevel="0" collapsed="false">
      <c r="A605" s="14" t="s">
        <v>11</v>
      </c>
      <c r="B605" s="14" t="n">
        <v>2021</v>
      </c>
      <c r="C605" s="14" t="n">
        <v>1</v>
      </c>
      <c r="D605" s="14" t="s">
        <v>50</v>
      </c>
      <c r="E605" s="15" t="n">
        <v>366924.46</v>
      </c>
      <c r="F605" s="15" t="n">
        <v>196978.53</v>
      </c>
      <c r="G605" s="16" t="n">
        <f aca="false">ROUND(E605+F605,2)</f>
        <v>563902.99</v>
      </c>
    </row>
    <row r="606" customFormat="false" ht="15" hidden="false" customHeight="false" outlineLevel="0" collapsed="false">
      <c r="A606" s="14" t="s">
        <v>11</v>
      </c>
      <c r="B606" s="14" t="n">
        <v>2021</v>
      </c>
      <c r="C606" s="14" t="n">
        <v>2</v>
      </c>
      <c r="D606" s="14" t="s">
        <v>51</v>
      </c>
      <c r="E606" s="15" t="n">
        <v>340448.65</v>
      </c>
      <c r="F606" s="15" t="n">
        <v>171938</v>
      </c>
      <c r="G606" s="16" t="n">
        <f aca="false">ROUND(E606+F606,2)</f>
        <v>512386.65</v>
      </c>
    </row>
    <row r="607" customFormat="false" ht="15" hidden="false" customHeight="false" outlineLevel="0" collapsed="false">
      <c r="A607" s="14" t="s">
        <v>11</v>
      </c>
      <c r="B607" s="14" t="n">
        <v>2021</v>
      </c>
      <c r="C607" s="14" t="n">
        <v>3</v>
      </c>
      <c r="D607" s="14" t="s">
        <v>52</v>
      </c>
      <c r="E607" s="15" t="n">
        <v>432772.83</v>
      </c>
      <c r="F607" s="15" t="n">
        <v>235911.87</v>
      </c>
      <c r="G607" s="16" t="n">
        <f aca="false">ROUND(E607+F607,2)</f>
        <v>668684.7</v>
      </c>
    </row>
    <row r="608" customFormat="false" ht="15" hidden="false" customHeight="false" outlineLevel="0" collapsed="false">
      <c r="A608" s="14" t="s">
        <v>11</v>
      </c>
      <c r="B608" s="14" t="n">
        <v>2021</v>
      </c>
      <c r="C608" s="14" t="n">
        <v>4</v>
      </c>
      <c r="D608" s="14" t="s">
        <v>53</v>
      </c>
      <c r="E608" s="15" t="n">
        <v>431590.63</v>
      </c>
      <c r="F608" s="15" t="n">
        <v>246859.06</v>
      </c>
      <c r="G608" s="16" t="n">
        <f aca="false">ROUND(E608+F608,2)</f>
        <v>678449.69</v>
      </c>
    </row>
    <row r="609" customFormat="false" ht="15" hidden="false" customHeight="false" outlineLevel="0" collapsed="false">
      <c r="A609" s="14" t="s">
        <v>11</v>
      </c>
      <c r="B609" s="14" t="n">
        <v>2021</v>
      </c>
      <c r="C609" s="14" t="n">
        <v>5</v>
      </c>
      <c r="D609" s="14" t="s">
        <v>54</v>
      </c>
      <c r="E609" s="15" t="n">
        <v>424722.48</v>
      </c>
      <c r="F609" s="15" t="n">
        <v>236418.65</v>
      </c>
      <c r="G609" s="16" t="n">
        <f aca="false">ROUND(E609+F609,2)</f>
        <v>661141.13</v>
      </c>
    </row>
    <row r="610" customFormat="false" ht="15" hidden="false" customHeight="false" outlineLevel="0" collapsed="false">
      <c r="A610" s="14" t="s">
        <v>11</v>
      </c>
      <c r="B610" s="14" t="n">
        <v>2021</v>
      </c>
      <c r="C610" s="14" t="n">
        <v>6</v>
      </c>
      <c r="D610" s="14" t="s">
        <v>55</v>
      </c>
      <c r="E610" s="15" t="n">
        <v>485672.34</v>
      </c>
      <c r="F610" s="15" t="n">
        <v>275490.25</v>
      </c>
      <c r="G610" s="16" t="n">
        <f aca="false">ROUND(E610+F610,2)</f>
        <v>761162.59</v>
      </c>
    </row>
    <row r="611" customFormat="false" ht="15" hidden="false" customHeight="false" outlineLevel="0" collapsed="false">
      <c r="A611" s="14" t="s">
        <v>11</v>
      </c>
      <c r="B611" s="14" t="n">
        <v>2021</v>
      </c>
      <c r="C611" s="14" t="n">
        <v>7</v>
      </c>
      <c r="D611" s="14" t="s">
        <v>56</v>
      </c>
      <c r="E611" s="15" t="n">
        <v>489059.13</v>
      </c>
      <c r="F611" s="15" t="n">
        <v>305950.53</v>
      </c>
      <c r="G611" s="16" t="n">
        <f aca="false">ROUND(E611+F611,2)</f>
        <v>795009.66</v>
      </c>
    </row>
    <row r="612" customFormat="false" ht="15" hidden="false" customHeight="false" outlineLevel="0" collapsed="false">
      <c r="A612" s="14" t="s">
        <v>11</v>
      </c>
      <c r="B612" s="14" t="n">
        <v>2021</v>
      </c>
      <c r="C612" s="14" t="n">
        <v>8</v>
      </c>
      <c r="D612" s="14" t="s">
        <v>57</v>
      </c>
      <c r="E612" s="15" t="n">
        <v>436909.15</v>
      </c>
      <c r="F612" s="15" t="n">
        <v>286949.68</v>
      </c>
      <c r="G612" s="16" t="n">
        <f aca="false">ROUND(E612+F612,2)</f>
        <v>723858.83</v>
      </c>
    </row>
    <row r="613" customFormat="false" ht="15" hidden="false" customHeight="false" outlineLevel="0" collapsed="false">
      <c r="A613" s="14" t="s">
        <v>11</v>
      </c>
      <c r="B613" s="14" t="n">
        <v>2021</v>
      </c>
      <c r="C613" s="14" t="n">
        <v>9</v>
      </c>
      <c r="D613" s="14" t="s">
        <v>58</v>
      </c>
      <c r="E613" s="15" t="n">
        <v>401103.62</v>
      </c>
      <c r="F613" s="15" t="n">
        <v>247922.9</v>
      </c>
      <c r="G613" s="16" t="n">
        <f aca="false">ROUND(E613+F613,2)</f>
        <v>649026.52</v>
      </c>
    </row>
    <row r="614" customFormat="false" ht="15" hidden="false" customHeight="false" outlineLevel="0" collapsed="false">
      <c r="A614" s="14" t="s">
        <v>11</v>
      </c>
      <c r="B614" s="14" t="n">
        <v>2021</v>
      </c>
      <c r="C614" s="14" t="n">
        <v>10</v>
      </c>
      <c r="D614" s="14" t="s">
        <v>59</v>
      </c>
      <c r="E614" s="15" t="n">
        <v>393140.85</v>
      </c>
      <c r="F614" s="15" t="n">
        <v>258211.49</v>
      </c>
      <c r="G614" s="16" t="n">
        <f aca="false">ROUND(E614+F614,2)</f>
        <v>651352.34</v>
      </c>
    </row>
    <row r="615" customFormat="false" ht="15" hidden="false" customHeight="false" outlineLevel="0" collapsed="false">
      <c r="A615" s="14" t="s">
        <v>11</v>
      </c>
      <c r="B615" s="14" t="n">
        <v>2021</v>
      </c>
      <c r="C615" s="14" t="n">
        <v>11</v>
      </c>
      <c r="D615" s="14" t="s">
        <v>60</v>
      </c>
      <c r="E615" s="15" t="n">
        <v>374019.37</v>
      </c>
      <c r="F615" s="15" t="n">
        <v>230914.93</v>
      </c>
      <c r="G615" s="16" t="n">
        <f aca="false">ROUND(E615+F615,2)</f>
        <v>604934.3</v>
      </c>
    </row>
    <row r="616" customFormat="false" ht="15" hidden="false" customHeight="false" outlineLevel="0" collapsed="false">
      <c r="A616" s="14" t="s">
        <v>11</v>
      </c>
      <c r="B616" s="14" t="n">
        <v>2021</v>
      </c>
      <c r="C616" s="14" t="n">
        <v>12</v>
      </c>
      <c r="D616" s="14" t="s">
        <v>61</v>
      </c>
      <c r="E616" s="15" t="n">
        <v>428842.73</v>
      </c>
      <c r="F616" s="15" t="n">
        <v>266437.4</v>
      </c>
      <c r="G616" s="16" t="n">
        <f aca="false">ROUND(E616+F616,2)</f>
        <v>695280.13</v>
      </c>
    </row>
    <row r="617" customFormat="false" ht="15" hidden="false" customHeight="false" outlineLevel="0" collapsed="false">
      <c r="A617" s="14" t="s">
        <v>11</v>
      </c>
      <c r="B617" s="14" t="n">
        <v>2022</v>
      </c>
      <c r="C617" s="14" t="n">
        <v>1</v>
      </c>
      <c r="D617" s="14" t="s">
        <v>50</v>
      </c>
      <c r="E617" s="15" t="n">
        <v>413925.77</v>
      </c>
      <c r="F617" s="15" t="n">
        <v>230928</v>
      </c>
      <c r="G617" s="16" t="n">
        <f aca="false">ROUND(E617+F617,2)</f>
        <v>644853.77</v>
      </c>
    </row>
    <row r="618" customFormat="false" ht="15" hidden="false" customHeight="false" outlineLevel="0" collapsed="false">
      <c r="A618" s="14" t="s">
        <v>11</v>
      </c>
      <c r="B618" s="14" t="n">
        <v>2022</v>
      </c>
      <c r="C618" s="14" t="n">
        <v>2</v>
      </c>
      <c r="D618" s="14" t="s">
        <v>51</v>
      </c>
      <c r="E618" s="15" t="n">
        <v>534066.16</v>
      </c>
      <c r="F618" s="15" t="n">
        <v>234020.24</v>
      </c>
      <c r="G618" s="16" t="n">
        <f aca="false">ROUND(E618+F618,2)</f>
        <v>768086.4</v>
      </c>
    </row>
    <row r="619" customFormat="false" ht="15" hidden="false" customHeight="false" outlineLevel="0" collapsed="false">
      <c r="A619" s="14" t="s">
        <v>11</v>
      </c>
      <c r="B619" s="14" t="n">
        <v>2022</v>
      </c>
      <c r="C619" s="14" t="n">
        <v>3</v>
      </c>
      <c r="D619" s="14" t="s">
        <v>52</v>
      </c>
      <c r="E619" s="15" t="n">
        <v>585689.65</v>
      </c>
      <c r="F619" s="15" t="n">
        <v>266586.38</v>
      </c>
      <c r="G619" s="16" t="n">
        <f aca="false">ROUND(E619+F619,2)</f>
        <v>852276.03</v>
      </c>
    </row>
    <row r="620" customFormat="false" ht="15" hidden="false" customHeight="false" outlineLevel="0" collapsed="false">
      <c r="A620" s="14" t="s">
        <v>11</v>
      </c>
      <c r="B620" s="14" t="n">
        <v>2022</v>
      </c>
      <c r="C620" s="14" t="n">
        <v>4</v>
      </c>
      <c r="D620" s="14" t="s">
        <v>53</v>
      </c>
      <c r="E620" s="15" t="n">
        <v>600160.15</v>
      </c>
      <c r="F620" s="15" t="n">
        <v>269345.17</v>
      </c>
      <c r="G620" s="16" t="n">
        <f aca="false">ROUND(E620+F620,2)</f>
        <v>869505.32</v>
      </c>
    </row>
    <row r="621" customFormat="false" ht="15" hidden="false" customHeight="false" outlineLevel="0" collapsed="false">
      <c r="A621" s="14" t="s">
        <v>11</v>
      </c>
      <c r="B621" s="14" t="n">
        <v>2022</v>
      </c>
      <c r="C621" s="14" t="n">
        <v>5</v>
      </c>
      <c r="D621" s="14" t="s">
        <v>54</v>
      </c>
      <c r="E621" s="15" t="n">
        <v>586271.08</v>
      </c>
      <c r="F621" s="15" t="n">
        <v>263738.65</v>
      </c>
      <c r="G621" s="16" t="n">
        <f aca="false">ROUND(E621+F621,2)</f>
        <v>850009.73</v>
      </c>
    </row>
    <row r="622" customFormat="false" ht="15" hidden="false" customHeight="false" outlineLevel="0" collapsed="false">
      <c r="A622" s="14" t="s">
        <v>11</v>
      </c>
      <c r="B622" s="14" t="n">
        <v>2022</v>
      </c>
      <c r="C622" s="14" t="n">
        <v>6</v>
      </c>
      <c r="D622" s="14" t="s">
        <v>55</v>
      </c>
      <c r="E622" s="15" t="n">
        <v>694001.8</v>
      </c>
      <c r="F622" s="15" t="n">
        <v>333958.31</v>
      </c>
      <c r="G622" s="16" t="n">
        <f aca="false">ROUND(E622+F622,2)</f>
        <v>1027960.11</v>
      </c>
    </row>
    <row r="623" customFormat="false" ht="15" hidden="false" customHeight="false" outlineLevel="0" collapsed="false">
      <c r="A623" s="14" t="s">
        <v>11</v>
      </c>
      <c r="B623" s="14" t="n">
        <v>2022</v>
      </c>
      <c r="C623" s="14" t="n">
        <v>7</v>
      </c>
      <c r="D623" s="14" t="s">
        <v>56</v>
      </c>
      <c r="E623" s="15" t="n">
        <v>626356.86</v>
      </c>
      <c r="F623" s="15" t="n">
        <v>328950.26</v>
      </c>
      <c r="G623" s="16" t="n">
        <f aca="false">ROUND(E623+F623,2)</f>
        <v>955307.12</v>
      </c>
    </row>
    <row r="624" customFormat="false" ht="15" hidden="false" customHeight="false" outlineLevel="0" collapsed="false">
      <c r="A624" s="14" t="s">
        <v>11</v>
      </c>
      <c r="B624" s="14" t="n">
        <v>2022</v>
      </c>
      <c r="C624" s="14" t="n">
        <v>8</v>
      </c>
      <c r="D624" s="14" t="s">
        <v>57</v>
      </c>
      <c r="E624" s="15" t="n">
        <v>634335.79</v>
      </c>
      <c r="F624" s="15" t="n">
        <v>325736.84</v>
      </c>
      <c r="G624" s="16" t="n">
        <f aca="false">ROUND(E624+F624,2)</f>
        <v>960072.63</v>
      </c>
    </row>
    <row r="625" customFormat="false" ht="15" hidden="false" customHeight="false" outlineLevel="0" collapsed="false">
      <c r="A625" s="14" t="s">
        <v>11</v>
      </c>
      <c r="B625" s="14" t="n">
        <v>2022</v>
      </c>
      <c r="C625" s="14" t="n">
        <v>9</v>
      </c>
      <c r="D625" s="14" t="s">
        <v>58</v>
      </c>
      <c r="E625" s="15" t="n">
        <v>680688.01</v>
      </c>
      <c r="F625" s="15" t="n">
        <v>335901.2</v>
      </c>
      <c r="G625" s="16" t="n">
        <f aca="false">ROUND(E625+F625,2)</f>
        <v>1016589.21</v>
      </c>
    </row>
    <row r="626" customFormat="false" ht="15" hidden="false" customHeight="false" outlineLevel="0" collapsed="false">
      <c r="A626" s="14" t="s">
        <v>11</v>
      </c>
      <c r="B626" s="14" t="n">
        <v>2022</v>
      </c>
      <c r="C626" s="14" t="n">
        <v>10</v>
      </c>
      <c r="D626" s="14" t="s">
        <v>59</v>
      </c>
      <c r="E626" s="15" t="n">
        <v>710760.38</v>
      </c>
      <c r="F626" s="15" t="n">
        <v>362281.65</v>
      </c>
      <c r="G626" s="16" t="n">
        <f aca="false">ROUND(E626+F626,2)</f>
        <v>1073042.03</v>
      </c>
    </row>
    <row r="627" customFormat="false" ht="15" hidden="false" customHeight="false" outlineLevel="0" collapsed="false">
      <c r="A627" s="14" t="s">
        <v>11</v>
      </c>
      <c r="B627" s="14" t="n">
        <v>2022</v>
      </c>
      <c r="C627" s="14" t="n">
        <v>11</v>
      </c>
      <c r="D627" s="14" t="s">
        <v>60</v>
      </c>
      <c r="E627" s="15" t="n">
        <v>630469.58</v>
      </c>
      <c r="F627" s="15" t="n">
        <v>311523.35</v>
      </c>
      <c r="G627" s="16" t="n">
        <f aca="false">ROUND(E627+F627,2)</f>
        <v>941992.93</v>
      </c>
    </row>
    <row r="628" customFormat="false" ht="15" hidden="false" customHeight="false" outlineLevel="0" collapsed="false">
      <c r="A628" s="14" t="s">
        <v>11</v>
      </c>
      <c r="B628" s="14" t="n">
        <v>2022</v>
      </c>
      <c r="C628" s="14" t="n">
        <v>12</v>
      </c>
      <c r="D628" s="14" t="s">
        <v>61</v>
      </c>
      <c r="E628" s="15" t="n">
        <v>739158.58</v>
      </c>
      <c r="F628" s="15" t="n">
        <v>333370.46</v>
      </c>
      <c r="G628" s="16" t="n">
        <f aca="false">ROUND(E628+F628,2)</f>
        <v>1072529.04</v>
      </c>
    </row>
    <row r="629" customFormat="false" ht="15" hidden="false" customHeight="false" outlineLevel="0" collapsed="false">
      <c r="A629" s="14" t="s">
        <v>11</v>
      </c>
      <c r="B629" s="14" t="n">
        <v>2023</v>
      </c>
      <c r="C629" s="14" t="n">
        <v>1</v>
      </c>
      <c r="D629" s="14" t="s">
        <v>50</v>
      </c>
      <c r="E629" s="15" t="n">
        <v>760903.7</v>
      </c>
      <c r="F629" s="15" t="n">
        <v>306470.13</v>
      </c>
      <c r="G629" s="16" t="n">
        <f aca="false">ROUND(E629+F629,2)</f>
        <v>1067373.83</v>
      </c>
    </row>
    <row r="630" customFormat="false" ht="15" hidden="false" customHeight="false" outlineLevel="0" collapsed="false">
      <c r="A630" s="14" t="s">
        <v>11</v>
      </c>
      <c r="B630" s="14" t="n">
        <v>2023</v>
      </c>
      <c r="C630" s="14" t="n">
        <v>2</v>
      </c>
      <c r="D630" s="14" t="s">
        <v>51</v>
      </c>
      <c r="E630" s="15" t="n">
        <v>697455.75</v>
      </c>
      <c r="F630" s="15" t="n">
        <v>283260.88</v>
      </c>
      <c r="G630" s="16" t="n">
        <f aca="false">ROUND(E630+F630,2)</f>
        <v>980716.63</v>
      </c>
    </row>
    <row r="631" customFormat="false" ht="15" hidden="false" customHeight="false" outlineLevel="0" collapsed="false">
      <c r="A631" s="14" t="s">
        <v>11</v>
      </c>
      <c r="B631" s="14" t="n">
        <v>2023</v>
      </c>
      <c r="C631" s="14" t="n">
        <v>3</v>
      </c>
      <c r="D631" s="14" t="s">
        <v>52</v>
      </c>
      <c r="E631" s="15" t="n">
        <v>916244.25</v>
      </c>
      <c r="F631" s="15" t="n">
        <v>360305.97</v>
      </c>
      <c r="G631" s="16" t="n">
        <f aca="false">ROUND(E631+F631,2)</f>
        <v>1276550.22</v>
      </c>
    </row>
    <row r="632" customFormat="false" ht="15" hidden="false" customHeight="false" outlineLevel="0" collapsed="false">
      <c r="A632" s="14" t="s">
        <v>11</v>
      </c>
      <c r="B632" s="14" t="n">
        <v>2023</v>
      </c>
      <c r="C632" s="14" t="n">
        <v>4</v>
      </c>
      <c r="D632" s="14" t="s">
        <v>53</v>
      </c>
      <c r="E632" s="15" t="n">
        <v>912678.91</v>
      </c>
      <c r="F632" s="15" t="n">
        <v>362288.77</v>
      </c>
      <c r="G632" s="16" t="n">
        <f aca="false">ROUND(E632+F632,2)</f>
        <v>1274967.68</v>
      </c>
    </row>
    <row r="633" customFormat="false" ht="15" hidden="false" customHeight="false" outlineLevel="0" collapsed="false">
      <c r="A633" s="14" t="s">
        <v>11</v>
      </c>
      <c r="B633" s="14" t="n">
        <v>2023</v>
      </c>
      <c r="C633" s="14" t="n">
        <v>5</v>
      </c>
      <c r="D633" s="14" t="s">
        <v>54</v>
      </c>
      <c r="E633" s="15" t="n">
        <v>1003825.59</v>
      </c>
      <c r="F633" s="15" t="n">
        <v>403462.67</v>
      </c>
      <c r="G633" s="16" t="n">
        <f aca="false">ROUND(E633+F633,2)</f>
        <v>1407288.26</v>
      </c>
    </row>
    <row r="634" customFormat="false" ht="15" hidden="false" customHeight="false" outlineLevel="0" collapsed="false">
      <c r="A634" s="14" t="s">
        <v>11</v>
      </c>
      <c r="B634" s="14" t="n">
        <v>2023</v>
      </c>
      <c r="C634" s="14" t="n">
        <v>6</v>
      </c>
      <c r="D634" s="14" t="s">
        <v>55</v>
      </c>
      <c r="E634" s="15" t="n">
        <v>944409.43</v>
      </c>
      <c r="F634" s="15" t="n">
        <v>376391.21</v>
      </c>
      <c r="G634" s="16" t="n">
        <f aca="false">ROUND(E634+F634,2)</f>
        <v>1320800.64</v>
      </c>
    </row>
    <row r="635" customFormat="false" ht="15" hidden="false" customHeight="false" outlineLevel="0" collapsed="false">
      <c r="A635" s="14" t="s">
        <v>11</v>
      </c>
      <c r="B635" s="14" t="n">
        <v>2023</v>
      </c>
      <c r="C635" s="14" t="n">
        <v>7</v>
      </c>
      <c r="D635" s="14" t="s">
        <v>56</v>
      </c>
      <c r="E635" s="15" t="n">
        <v>1091818.13</v>
      </c>
      <c r="F635" s="15" t="n">
        <v>423338.85</v>
      </c>
      <c r="G635" s="16" t="n">
        <f aca="false">ROUND(E635+F635,2)</f>
        <v>1515156.98</v>
      </c>
    </row>
    <row r="636" customFormat="false" ht="15" hidden="false" customHeight="false" outlineLevel="0" collapsed="false">
      <c r="A636" s="14" t="s">
        <v>11</v>
      </c>
      <c r="B636" s="14" t="n">
        <v>2023</v>
      </c>
      <c r="C636" s="14" t="n">
        <v>8</v>
      </c>
      <c r="D636" s="14" t="s">
        <v>57</v>
      </c>
      <c r="E636" s="15" t="n">
        <v>1174029.52</v>
      </c>
      <c r="F636" s="15" t="n">
        <v>454559.2</v>
      </c>
      <c r="G636" s="16" t="n">
        <f aca="false">ROUND(E636+F636,2)</f>
        <v>1628588.72</v>
      </c>
    </row>
    <row r="637" customFormat="false" ht="15" hidden="false" customHeight="false" outlineLevel="0" collapsed="false">
      <c r="A637" s="14" t="s">
        <v>11</v>
      </c>
      <c r="B637" s="14" t="n">
        <v>2023</v>
      </c>
      <c r="C637" s="14" t="n">
        <v>9</v>
      </c>
      <c r="D637" s="14" t="s">
        <v>58</v>
      </c>
      <c r="E637" s="15" t="n">
        <v>1131021.96</v>
      </c>
      <c r="F637" s="15" t="n">
        <v>425027.32</v>
      </c>
      <c r="G637" s="16" t="n">
        <f aca="false">ROUND(E637+F637,2)</f>
        <v>1556049.28</v>
      </c>
    </row>
    <row r="638" customFormat="false" ht="15" hidden="false" customHeight="false" outlineLevel="0" collapsed="false">
      <c r="A638" s="14" t="s">
        <v>11</v>
      </c>
      <c r="B638" s="14" t="n">
        <v>2023</v>
      </c>
      <c r="C638" s="14" t="n">
        <v>10</v>
      </c>
      <c r="D638" s="14" t="s">
        <v>59</v>
      </c>
      <c r="E638" s="15" t="n">
        <v>1106866.38</v>
      </c>
      <c r="F638" s="15" t="n">
        <v>422364.39</v>
      </c>
      <c r="G638" s="16" t="n">
        <f aca="false">ROUND(E638+F638,2)</f>
        <v>1529230.77</v>
      </c>
    </row>
    <row r="639" customFormat="false" ht="15" hidden="false" customHeight="false" outlineLevel="0" collapsed="false">
      <c r="A639" s="14" t="s">
        <v>11</v>
      </c>
      <c r="B639" s="14" t="n">
        <v>2023</v>
      </c>
      <c r="C639" s="14" t="n">
        <v>11</v>
      </c>
      <c r="D639" s="14" t="s">
        <v>60</v>
      </c>
      <c r="E639" s="15" t="n">
        <v>1078257.68</v>
      </c>
      <c r="F639" s="15" t="n">
        <v>376332.8</v>
      </c>
      <c r="G639" s="16" t="n">
        <f aca="false">ROUND(E639+F639,2)</f>
        <v>1454590.48</v>
      </c>
    </row>
    <row r="640" customFormat="false" ht="15" hidden="false" customHeight="false" outlineLevel="0" collapsed="false">
      <c r="A640" s="14" t="s">
        <v>11</v>
      </c>
      <c r="B640" s="14" t="n">
        <v>2023</v>
      </c>
      <c r="C640" s="14" t="n">
        <v>12</v>
      </c>
      <c r="D640" s="14" t="s">
        <v>61</v>
      </c>
      <c r="E640" s="15" t="n">
        <v>1003374.91</v>
      </c>
      <c r="F640" s="15" t="n">
        <v>389070.72</v>
      </c>
      <c r="G640" s="16" t="n">
        <f aca="false">ROUND(E640+F640,2)</f>
        <v>1392445.63</v>
      </c>
    </row>
    <row r="641" customFormat="false" ht="15" hidden="false" customHeight="false" outlineLevel="0" collapsed="false">
      <c r="A641" s="14" t="s">
        <v>11</v>
      </c>
      <c r="B641" s="14" t="n">
        <v>2024</v>
      </c>
      <c r="C641" s="14" t="n">
        <v>1</v>
      </c>
      <c r="D641" s="14" t="s">
        <v>50</v>
      </c>
      <c r="E641" s="15" t="n">
        <v>1079687.37</v>
      </c>
      <c r="F641" s="15" t="n">
        <v>406005.57</v>
      </c>
      <c r="G641" s="16" t="n">
        <f aca="false">ROUND(E641+F641,2)</f>
        <v>1485692.94</v>
      </c>
    </row>
    <row r="642" customFormat="false" ht="15" hidden="false" customHeight="false" outlineLevel="0" collapsed="false">
      <c r="A642" s="14" t="s">
        <v>11</v>
      </c>
      <c r="B642" s="14" t="n">
        <v>2024</v>
      </c>
      <c r="C642" s="14" t="n">
        <v>2</v>
      </c>
      <c r="D642" s="14" t="s">
        <v>51</v>
      </c>
      <c r="E642" s="15" t="n">
        <v>1101240.43</v>
      </c>
      <c r="F642" s="15" t="n">
        <v>419644.27</v>
      </c>
      <c r="G642" s="16" t="n">
        <f aca="false">ROUND(E642+F642,2)</f>
        <v>1520884.7</v>
      </c>
    </row>
    <row r="643" customFormat="false" ht="15" hidden="false" customHeight="false" outlineLevel="0" collapsed="false">
      <c r="A643" s="14" t="s">
        <v>11</v>
      </c>
      <c r="B643" s="14" t="n">
        <v>2024</v>
      </c>
      <c r="C643" s="14" t="n">
        <v>3</v>
      </c>
      <c r="D643" s="14" t="s">
        <v>52</v>
      </c>
      <c r="E643" s="15" t="n">
        <v>1145640.45</v>
      </c>
      <c r="F643" s="15" t="n">
        <v>438524.19</v>
      </c>
      <c r="G643" s="16" t="n">
        <f aca="false">ROUND(E643+F643,2)</f>
        <v>1584164.64</v>
      </c>
    </row>
    <row r="644" customFormat="false" ht="15" hidden="false" customHeight="false" outlineLevel="0" collapsed="false">
      <c r="A644" s="14" t="s">
        <v>11</v>
      </c>
      <c r="B644" s="14" t="n">
        <v>2024</v>
      </c>
      <c r="C644" s="14" t="n">
        <v>4</v>
      </c>
      <c r="D644" s="14" t="s">
        <v>53</v>
      </c>
      <c r="E644" s="15" t="n">
        <v>1197344.37</v>
      </c>
      <c r="F644" s="15" t="n">
        <v>474638.37</v>
      </c>
      <c r="G644" s="16" t="n">
        <f aca="false">ROUND(E644+F644,2)</f>
        <v>1671982.74</v>
      </c>
    </row>
    <row r="645" customFormat="false" ht="15" hidden="false" customHeight="false" outlineLevel="0" collapsed="false">
      <c r="A645" s="14" t="s">
        <v>11</v>
      </c>
      <c r="B645" s="14" t="n">
        <v>2024</v>
      </c>
      <c r="C645" s="14" t="n">
        <v>5</v>
      </c>
      <c r="D645" s="14" t="s">
        <v>54</v>
      </c>
      <c r="E645" s="15" t="n">
        <v>1152008.65</v>
      </c>
      <c r="F645" s="15" t="n">
        <v>435523.9</v>
      </c>
      <c r="G645" s="16" t="n">
        <f aca="false">ROUND(E645+F645,2)</f>
        <v>1587532.55</v>
      </c>
    </row>
    <row r="646" customFormat="false" ht="15" hidden="false" customHeight="false" outlineLevel="0" collapsed="false">
      <c r="A646" s="14" t="s">
        <v>11</v>
      </c>
      <c r="B646" s="14" t="n">
        <v>2024</v>
      </c>
      <c r="C646" s="14" t="n">
        <v>6</v>
      </c>
      <c r="D646" s="14" t="s">
        <v>55</v>
      </c>
      <c r="E646" s="15" t="n">
        <v>936902.32</v>
      </c>
      <c r="F646" s="15" t="n">
        <v>330612.09</v>
      </c>
      <c r="G646" s="16" t="n">
        <f aca="false">ROUND(E646+F646,2)</f>
        <v>1267514.41</v>
      </c>
    </row>
    <row r="647" customFormat="false" ht="15" hidden="false" customHeight="false" outlineLevel="0" collapsed="false">
      <c r="A647" s="14" t="s">
        <v>11</v>
      </c>
      <c r="B647" s="14" t="n">
        <v>2024</v>
      </c>
      <c r="C647" s="14" t="n">
        <v>7</v>
      </c>
      <c r="D647" s="14" t="s">
        <v>56</v>
      </c>
      <c r="E647" s="15" t="n">
        <v>1201044.11</v>
      </c>
      <c r="F647" s="15" t="n">
        <v>454721.81</v>
      </c>
      <c r="G647" s="16" t="n">
        <f aca="false">ROUND(E647+F647,2)</f>
        <v>1655765.92</v>
      </c>
    </row>
    <row r="648" customFormat="false" ht="15" hidden="false" customHeight="false" outlineLevel="0" collapsed="false">
      <c r="A648" s="14" t="s">
        <v>11</v>
      </c>
      <c r="B648" s="14" t="n">
        <v>2024</v>
      </c>
      <c r="C648" s="14" t="n">
        <v>8</v>
      </c>
      <c r="D648" s="14" t="s">
        <v>57</v>
      </c>
      <c r="E648" s="15" t="n">
        <v>1155587.65</v>
      </c>
      <c r="F648" s="15" t="n">
        <v>472553.06</v>
      </c>
      <c r="G648" s="16" t="n">
        <f aca="false">ROUND(E648+F648,2)</f>
        <v>1628140.71</v>
      </c>
    </row>
    <row r="649" customFormat="false" ht="15" hidden="false" customHeight="false" outlineLevel="0" collapsed="false">
      <c r="A649" s="14" t="s">
        <v>11</v>
      </c>
      <c r="B649" s="14" t="n">
        <v>2024</v>
      </c>
      <c r="C649" s="14" t="n">
        <v>9</v>
      </c>
      <c r="D649" s="14" t="s">
        <v>58</v>
      </c>
      <c r="E649" s="15" t="n">
        <v>1037844.9</v>
      </c>
      <c r="F649" s="15" t="n">
        <v>391799.65</v>
      </c>
      <c r="G649" s="16" t="n">
        <f aca="false">ROUND(E649+F649,2)</f>
        <v>1429644.55</v>
      </c>
    </row>
    <row r="650" customFormat="false" ht="15" hidden="false" customHeight="false" outlineLevel="0" collapsed="false">
      <c r="A650" s="14" t="s">
        <v>11</v>
      </c>
      <c r="B650" s="14" t="n">
        <v>2024</v>
      </c>
      <c r="C650" s="14" t="n">
        <v>10</v>
      </c>
      <c r="D650" s="14" t="s">
        <v>59</v>
      </c>
      <c r="E650" s="15" t="n">
        <v>1019081.43</v>
      </c>
      <c r="F650" s="15" t="n">
        <v>466240.41</v>
      </c>
      <c r="G650" s="16" t="n">
        <f aca="false">ROUND(E650+F650,2)</f>
        <v>1485321.84</v>
      </c>
    </row>
    <row r="651" customFormat="false" ht="15" hidden="false" customHeight="false" outlineLevel="0" collapsed="false">
      <c r="A651" s="14" t="s">
        <v>11</v>
      </c>
      <c r="B651" s="14" t="n">
        <v>2024</v>
      </c>
      <c r="C651" s="14" t="n">
        <v>11</v>
      </c>
      <c r="D651" s="14" t="s">
        <v>60</v>
      </c>
      <c r="E651" s="15" t="n">
        <v>1021933.85</v>
      </c>
      <c r="F651" s="15" t="n">
        <v>399675.63</v>
      </c>
      <c r="G651" s="16" t="n">
        <f aca="false">ROUND(E651+F651,2)</f>
        <v>1421609.48</v>
      </c>
    </row>
    <row r="652" customFormat="false" ht="15" hidden="false" customHeight="false" outlineLevel="0" collapsed="false">
      <c r="A652" s="14" t="s">
        <v>11</v>
      </c>
      <c r="B652" s="14" t="n">
        <v>2024</v>
      </c>
      <c r="C652" s="14" t="n">
        <v>12</v>
      </c>
      <c r="D652" s="14" t="s">
        <v>61</v>
      </c>
      <c r="E652" s="15" t="n">
        <v>1063248.29</v>
      </c>
      <c r="F652" s="15" t="n">
        <v>368743.32</v>
      </c>
      <c r="G652" s="16" t="n">
        <f aca="false">ROUND(E652+F652,2)</f>
        <v>1431991.61</v>
      </c>
    </row>
    <row r="653" customFormat="false" ht="15" hidden="false" customHeight="false" outlineLevel="0" collapsed="false">
      <c r="A653" s="14" t="s">
        <v>11</v>
      </c>
      <c r="B653" s="14" t="n">
        <v>2025</v>
      </c>
      <c r="C653" s="14" t="n">
        <v>1</v>
      </c>
      <c r="D653" s="14" t="s">
        <v>50</v>
      </c>
      <c r="E653" s="15" t="n">
        <v>1092218.3</v>
      </c>
      <c r="F653" s="15" t="n">
        <v>371365.83</v>
      </c>
      <c r="G653" s="16" t="n">
        <f aca="false">ROUND(E653+F653,2)</f>
        <v>1463584.13</v>
      </c>
    </row>
    <row r="654" customFormat="false" ht="15" hidden="false" customHeight="false" outlineLevel="0" collapsed="false">
      <c r="A654" s="14" t="s">
        <v>11</v>
      </c>
      <c r="B654" s="14" t="n">
        <v>2025</v>
      </c>
      <c r="C654" s="14" t="n">
        <v>2</v>
      </c>
      <c r="D654" s="14" t="s">
        <v>51</v>
      </c>
      <c r="E654" s="15" t="n">
        <v>1060803.17</v>
      </c>
      <c r="F654" s="15" t="n">
        <v>372464.93</v>
      </c>
      <c r="G654" s="16" t="n">
        <f aca="false">ROUND(E654+F654,2)</f>
        <v>1433268.1</v>
      </c>
    </row>
    <row r="655" customFormat="false" ht="15" hidden="false" customHeight="false" outlineLevel="0" collapsed="false">
      <c r="A655" s="14" t="s">
        <v>11</v>
      </c>
      <c r="B655" s="14" t="n">
        <v>2025</v>
      </c>
      <c r="C655" s="14" t="n">
        <v>3</v>
      </c>
      <c r="D655" s="14" t="s">
        <v>52</v>
      </c>
      <c r="E655" s="15" t="n">
        <v>1232989.61</v>
      </c>
      <c r="F655" s="15" t="n">
        <v>394362.34</v>
      </c>
      <c r="G655" s="16" t="n">
        <f aca="false">ROUND(E655+F655,2)</f>
        <v>1627351.95</v>
      </c>
    </row>
    <row r="656" customFormat="false" ht="15" hidden="false" customHeight="false" outlineLevel="0" collapsed="false">
      <c r="A656" s="14" t="s">
        <v>11</v>
      </c>
      <c r="B656" s="14" t="n">
        <v>2025</v>
      </c>
      <c r="C656" s="14" t="n">
        <v>4</v>
      </c>
      <c r="D656" s="14" t="s">
        <v>53</v>
      </c>
      <c r="E656" s="15" t="n">
        <v>1132528.19</v>
      </c>
      <c r="F656" s="15" t="n">
        <v>366058.73</v>
      </c>
      <c r="G656" s="16" t="n">
        <f aca="false">ROUND(E656+F656,2)</f>
        <v>1498586.92</v>
      </c>
    </row>
    <row r="657" customFormat="false" ht="15" hidden="false" customHeight="false" outlineLevel="0" collapsed="false">
      <c r="A657" s="14" t="s">
        <v>11</v>
      </c>
      <c r="B657" s="14" t="n">
        <v>2025</v>
      </c>
      <c r="C657" s="14" t="n">
        <v>5</v>
      </c>
      <c r="D657" s="14" t="s">
        <v>54</v>
      </c>
      <c r="E657" s="15" t="n">
        <v>1187232.99</v>
      </c>
      <c r="F657" s="15" t="n">
        <v>390903.6</v>
      </c>
      <c r="G657" s="16" t="n">
        <f aca="false">ROUND(E657+F657,2)</f>
        <v>1578136.59</v>
      </c>
    </row>
    <row r="658" customFormat="false" ht="15" hidden="false" customHeight="false" outlineLevel="0" collapsed="false">
      <c r="A658" s="14" t="s">
        <v>11</v>
      </c>
      <c r="B658" s="14" t="n">
        <v>2025</v>
      </c>
      <c r="C658" s="14" t="n">
        <v>6</v>
      </c>
      <c r="D658" s="14" t="s">
        <v>55</v>
      </c>
      <c r="E658" s="15" t="n">
        <v>1156457.53</v>
      </c>
      <c r="F658" s="15" t="n">
        <v>404364.82</v>
      </c>
      <c r="G658" s="16" t="n">
        <f aca="false">ROUND(E658+F658,2)</f>
        <v>1560822.35</v>
      </c>
    </row>
    <row r="659" customFormat="false" ht="15" hidden="false" customHeight="false" outlineLevel="0" collapsed="false">
      <c r="A659" s="14" t="s">
        <v>11</v>
      </c>
      <c r="B659" s="14" t="n">
        <v>2025</v>
      </c>
      <c r="C659" s="14" t="n">
        <v>7</v>
      </c>
      <c r="D659" s="14" t="s">
        <v>56</v>
      </c>
      <c r="E659" s="15" t="n">
        <v>1063509.6</v>
      </c>
      <c r="F659" s="15" t="n">
        <v>434751.36</v>
      </c>
      <c r="G659" s="16" t="n">
        <f aca="false">ROUND(E659+F659,2)</f>
        <v>1498260.96</v>
      </c>
    </row>
    <row r="660" customFormat="false" ht="15" hidden="false" customHeight="false" outlineLevel="0" collapsed="false">
      <c r="A660" s="14" t="s">
        <v>11</v>
      </c>
      <c r="B660" s="14" t="n">
        <v>2025</v>
      </c>
      <c r="C660" s="14" t="n">
        <v>8</v>
      </c>
      <c r="D660" s="14" t="s">
        <v>57</v>
      </c>
      <c r="E660" s="15" t="n">
        <v>1084459.56</v>
      </c>
      <c r="F660" s="15" t="n">
        <v>435989.59</v>
      </c>
      <c r="G660" s="16" t="n">
        <f aca="false">ROUND(E660+F660,2)</f>
        <v>1520449.15</v>
      </c>
    </row>
    <row r="661" customFormat="false" ht="15" hidden="false" customHeight="false" outlineLevel="0" collapsed="false">
      <c r="A661" s="14" t="s">
        <v>11</v>
      </c>
      <c r="B661" s="14" t="n">
        <v>2025</v>
      </c>
      <c r="C661" s="14" t="n">
        <v>9</v>
      </c>
      <c r="D661" s="14" t="s">
        <v>58</v>
      </c>
      <c r="E661" s="15" t="n">
        <v>933034.53</v>
      </c>
      <c r="F661" s="15" t="n">
        <v>377682.53</v>
      </c>
      <c r="G661" s="16" t="n">
        <f aca="false">ROUND(E661+F661,2)</f>
        <v>1310717.06</v>
      </c>
    </row>
    <row r="662" customFormat="false" ht="15" hidden="false" customHeight="false" outlineLevel="0" collapsed="false">
      <c r="A662" s="14" t="s">
        <v>11</v>
      </c>
      <c r="B662" s="14" t="n">
        <v>2025</v>
      </c>
      <c r="C662" s="14" t="n">
        <v>10</v>
      </c>
      <c r="D662" s="14" t="s">
        <v>59</v>
      </c>
      <c r="E662" s="15" t="n">
        <v>1027249.88</v>
      </c>
      <c r="F662" s="15" t="n">
        <v>407331.98</v>
      </c>
      <c r="G662" s="16" t="n">
        <f aca="false">ROUND(E662+F662,2)</f>
        <v>1434581.86</v>
      </c>
    </row>
    <row r="663" customFormat="false" ht="15" hidden="false" customHeight="false" outlineLevel="0" collapsed="false">
      <c r="A663" s="14" t="s">
        <v>11</v>
      </c>
      <c r="B663" s="14" t="n">
        <v>2025</v>
      </c>
      <c r="C663" s="14" t="n">
        <v>11</v>
      </c>
      <c r="D663" s="14" t="s">
        <v>60</v>
      </c>
      <c r="E663" s="15" t="n">
        <v>879507.62</v>
      </c>
      <c r="F663" s="15" t="n">
        <v>388557.84</v>
      </c>
      <c r="G663" s="16" t="n">
        <f aca="false">ROUND(E663+F663,2)</f>
        <v>1268065.46</v>
      </c>
    </row>
    <row r="664" customFormat="false" ht="15" hidden="false" customHeight="false" outlineLevel="0" collapsed="false">
      <c r="A664" s="14" t="s">
        <v>11</v>
      </c>
      <c r="B664" s="14" t="n">
        <v>2025</v>
      </c>
      <c r="C664" s="14" t="n">
        <v>12</v>
      </c>
      <c r="D664" s="14" t="s">
        <v>61</v>
      </c>
      <c r="E664" s="15" t="n">
        <v>877736.31</v>
      </c>
      <c r="F664" s="15" t="n">
        <v>371203.55</v>
      </c>
      <c r="G664" s="16" t="n">
        <f aca="false">ROUND(E664+F664,2)</f>
        <v>1248939.86</v>
      </c>
    </row>
    <row r="665" customFormat="false" ht="15" hidden="false" customHeight="false" outlineLevel="0" collapsed="false">
      <c r="A665" s="14" t="s">
        <v>11</v>
      </c>
      <c r="B665" s="14" t="n">
        <v>2026</v>
      </c>
      <c r="C665" s="14" t="n">
        <v>1</v>
      </c>
      <c r="D665" s="14" t="s">
        <v>50</v>
      </c>
      <c r="E665" s="15" t="n">
        <v>1094187.24</v>
      </c>
      <c r="F665" s="15" t="n">
        <v>412594.75</v>
      </c>
      <c r="G665" s="16" t="n">
        <f aca="false">ROUND(E665+F665,2)</f>
        <v>1506781.99</v>
      </c>
    </row>
    <row r="666" customFormat="false" ht="15" hidden="false" customHeight="false" outlineLevel="0" collapsed="false">
      <c r="A666" s="14" t="s">
        <v>11</v>
      </c>
      <c r="B666" s="14" t="n">
        <v>2026</v>
      </c>
      <c r="C666" s="14" t="n">
        <v>2</v>
      </c>
      <c r="D666" s="14" t="s">
        <v>51</v>
      </c>
      <c r="E666" s="15" t="n">
        <v>922341.15</v>
      </c>
      <c r="F666" s="15" t="n">
        <v>340399.23</v>
      </c>
      <c r="G666" s="16" t="n">
        <f aca="false">ROUND(E666+F666,2)</f>
        <v>1262740.38</v>
      </c>
    </row>
    <row r="667" customFormat="false" ht="15" hidden="false" customHeight="false" outlineLevel="0" collapsed="false">
      <c r="A667" s="14" t="s">
        <v>11</v>
      </c>
      <c r="B667" s="14" t="n">
        <v>2026</v>
      </c>
      <c r="C667" s="14" t="n">
        <v>3</v>
      </c>
      <c r="D667" s="14" t="s">
        <v>52</v>
      </c>
      <c r="E667" s="15" t="n">
        <v>1263152.12</v>
      </c>
      <c r="F667" s="15" t="n">
        <v>456168.25</v>
      </c>
      <c r="G667" s="16" t="n">
        <f aca="false">ROUND(E667+F667,2)</f>
        <v>1719320.37</v>
      </c>
    </row>
    <row r="668" customFormat="false" ht="15" hidden="false" customHeight="false" outlineLevel="0" collapsed="false">
      <c r="A668" s="14" t="s">
        <v>11</v>
      </c>
      <c r="B668" s="14" t="n">
        <v>2026</v>
      </c>
      <c r="C668" s="14" t="n">
        <v>4</v>
      </c>
      <c r="D668" s="14" t="s">
        <v>53</v>
      </c>
      <c r="E668" s="15" t="n">
        <v>1206000.1</v>
      </c>
      <c r="F668" s="15" t="n">
        <v>414214.47</v>
      </c>
      <c r="G668" s="16" t="n">
        <f aca="false">ROUND(E668+F668,2)</f>
        <v>1620214.57</v>
      </c>
    </row>
    <row r="669" customFormat="false" ht="15" hidden="false" customHeight="false" outlineLevel="0" collapsed="false">
      <c r="A669" s="14" t="s">
        <v>11</v>
      </c>
      <c r="B669" s="14" t="n">
        <v>2026</v>
      </c>
      <c r="C669" s="14" t="n">
        <v>5</v>
      </c>
      <c r="D669" s="14" t="s">
        <v>54</v>
      </c>
      <c r="E669" s="15" t="n">
        <v>1224410.7</v>
      </c>
      <c r="F669" s="15" t="n">
        <v>413560.37</v>
      </c>
      <c r="G669" s="16" t="n">
        <f aca="false">ROUND(E669+F669,2)</f>
        <v>1637971.07</v>
      </c>
    </row>
    <row r="670" customFormat="false" ht="15" hidden="false" customHeight="false" outlineLevel="0" collapsed="false">
      <c r="A670" s="14" t="s">
        <v>11</v>
      </c>
      <c r="B670" s="14" t="n">
        <v>2026</v>
      </c>
      <c r="C670" s="14" t="n">
        <v>6</v>
      </c>
      <c r="D670" s="14" t="s">
        <v>55</v>
      </c>
      <c r="E670" s="15" t="n">
        <v>1293574.04</v>
      </c>
      <c r="F670" s="15" t="n">
        <v>452117.41</v>
      </c>
      <c r="G670" s="16" t="n">
        <f aca="false">ROUND(E670+F670,2)</f>
        <v>1745691.45</v>
      </c>
    </row>
    <row r="671" customFormat="false" ht="15" hidden="false" customHeight="false" outlineLevel="0" collapsed="false">
      <c r="A671" s="14" t="s">
        <v>11</v>
      </c>
      <c r="B671" s="14" t="n">
        <v>2026</v>
      </c>
      <c r="C671" s="14" t="n">
        <v>7</v>
      </c>
      <c r="D671" s="14" t="s">
        <v>56</v>
      </c>
      <c r="E671" s="15" t="n">
        <v>1295926.82</v>
      </c>
      <c r="F671" s="15" t="n">
        <v>495404.7</v>
      </c>
      <c r="G671" s="16" t="n">
        <f aca="false">ROUND(E671+F671,2)</f>
        <v>1791331.52</v>
      </c>
    </row>
    <row r="672" customFormat="false" ht="15" hidden="false" customHeight="false" outlineLevel="0" collapsed="false">
      <c r="A672" s="14" t="s">
        <v>14</v>
      </c>
      <c r="B672" s="14" t="n">
        <v>2021</v>
      </c>
      <c r="C672" s="14" t="n">
        <v>1</v>
      </c>
      <c r="D672" s="14" t="s">
        <v>50</v>
      </c>
      <c r="E672" s="15" t="n">
        <v>255597.49</v>
      </c>
      <c r="F672" s="15" t="n">
        <v>149359.73</v>
      </c>
      <c r="G672" s="16" t="n">
        <f aca="false">ROUND(E672+F672,2)</f>
        <v>404957.22</v>
      </c>
    </row>
    <row r="673" customFormat="false" ht="15" hidden="false" customHeight="false" outlineLevel="0" collapsed="false">
      <c r="A673" s="14" t="s">
        <v>14</v>
      </c>
      <c r="B673" s="14" t="n">
        <v>2021</v>
      </c>
      <c r="C673" s="14" t="n">
        <v>2</v>
      </c>
      <c r="D673" s="14" t="s">
        <v>51</v>
      </c>
      <c r="E673" s="15" t="n">
        <v>250647.21</v>
      </c>
      <c r="F673" s="15" t="n">
        <v>149764.8</v>
      </c>
      <c r="G673" s="16" t="n">
        <f aca="false">ROUND(E673+F673,2)</f>
        <v>400412.01</v>
      </c>
    </row>
    <row r="674" customFormat="false" ht="15" hidden="false" customHeight="false" outlineLevel="0" collapsed="false">
      <c r="A674" s="14" t="s">
        <v>14</v>
      </c>
      <c r="B674" s="14" t="n">
        <v>2021</v>
      </c>
      <c r="C674" s="14" t="n">
        <v>3</v>
      </c>
      <c r="D674" s="14" t="s">
        <v>52</v>
      </c>
      <c r="E674" s="15" t="n">
        <v>346857.99</v>
      </c>
      <c r="F674" s="15" t="n">
        <v>203613.04</v>
      </c>
      <c r="G674" s="16" t="n">
        <f aca="false">ROUND(E674+F674,2)</f>
        <v>550471.03</v>
      </c>
    </row>
    <row r="675" customFormat="false" ht="15" hidden="false" customHeight="false" outlineLevel="0" collapsed="false">
      <c r="A675" s="14" t="s">
        <v>14</v>
      </c>
      <c r="B675" s="14" t="n">
        <v>2021</v>
      </c>
      <c r="C675" s="14" t="n">
        <v>4</v>
      </c>
      <c r="D675" s="14" t="s">
        <v>53</v>
      </c>
      <c r="E675" s="15" t="n">
        <v>330603.03</v>
      </c>
      <c r="F675" s="15" t="n">
        <v>209424.59</v>
      </c>
      <c r="G675" s="16" t="n">
        <f aca="false">ROUND(E675+F675,2)</f>
        <v>540027.62</v>
      </c>
    </row>
    <row r="676" customFormat="false" ht="15" hidden="false" customHeight="false" outlineLevel="0" collapsed="false">
      <c r="A676" s="14" t="s">
        <v>14</v>
      </c>
      <c r="B676" s="14" t="n">
        <v>2021</v>
      </c>
      <c r="C676" s="14" t="n">
        <v>5</v>
      </c>
      <c r="D676" s="14" t="s">
        <v>54</v>
      </c>
      <c r="E676" s="15" t="n">
        <v>368411.92</v>
      </c>
      <c r="F676" s="15" t="n">
        <v>214166.17</v>
      </c>
      <c r="G676" s="16" t="n">
        <f aca="false">ROUND(E676+F676,2)</f>
        <v>582578.09</v>
      </c>
    </row>
    <row r="677" customFormat="false" ht="15" hidden="false" customHeight="false" outlineLevel="0" collapsed="false">
      <c r="A677" s="14" t="s">
        <v>14</v>
      </c>
      <c r="B677" s="14" t="n">
        <v>2021</v>
      </c>
      <c r="C677" s="14" t="n">
        <v>6</v>
      </c>
      <c r="D677" s="14" t="s">
        <v>55</v>
      </c>
      <c r="E677" s="15" t="n">
        <v>446309.16</v>
      </c>
      <c r="F677" s="15" t="n">
        <v>253427.19</v>
      </c>
      <c r="G677" s="16" t="n">
        <f aca="false">ROUND(E677+F677,2)</f>
        <v>699736.35</v>
      </c>
    </row>
    <row r="678" customFormat="false" ht="15" hidden="false" customHeight="false" outlineLevel="0" collapsed="false">
      <c r="A678" s="14" t="s">
        <v>14</v>
      </c>
      <c r="B678" s="14" t="n">
        <v>2021</v>
      </c>
      <c r="C678" s="14" t="n">
        <v>7</v>
      </c>
      <c r="D678" s="14" t="s">
        <v>56</v>
      </c>
      <c r="E678" s="15" t="n">
        <v>432472.99</v>
      </c>
      <c r="F678" s="15" t="n">
        <v>252454.65</v>
      </c>
      <c r="G678" s="16" t="n">
        <f aca="false">ROUND(E678+F678,2)</f>
        <v>684927.64</v>
      </c>
    </row>
    <row r="679" customFormat="false" ht="15" hidden="false" customHeight="false" outlineLevel="0" collapsed="false">
      <c r="A679" s="14" t="s">
        <v>14</v>
      </c>
      <c r="B679" s="14" t="n">
        <v>2021</v>
      </c>
      <c r="C679" s="14" t="n">
        <v>8</v>
      </c>
      <c r="D679" s="14" t="s">
        <v>57</v>
      </c>
      <c r="E679" s="15" t="n">
        <v>389688.69</v>
      </c>
      <c r="F679" s="15" t="n">
        <v>236107.03</v>
      </c>
      <c r="G679" s="16" t="n">
        <f aca="false">ROUND(E679+F679,2)</f>
        <v>625795.72</v>
      </c>
    </row>
    <row r="680" customFormat="false" ht="15" hidden="false" customHeight="false" outlineLevel="0" collapsed="false">
      <c r="A680" s="14" t="s">
        <v>14</v>
      </c>
      <c r="B680" s="14" t="n">
        <v>2021</v>
      </c>
      <c r="C680" s="14" t="n">
        <v>9</v>
      </c>
      <c r="D680" s="14" t="s">
        <v>58</v>
      </c>
      <c r="E680" s="15" t="n">
        <v>373322.55</v>
      </c>
      <c r="F680" s="15" t="n">
        <v>216746.38</v>
      </c>
      <c r="G680" s="16" t="n">
        <f aca="false">ROUND(E680+F680,2)</f>
        <v>590068.93</v>
      </c>
    </row>
    <row r="681" customFormat="false" ht="15" hidden="false" customHeight="false" outlineLevel="0" collapsed="false">
      <c r="A681" s="14" t="s">
        <v>14</v>
      </c>
      <c r="B681" s="14" t="n">
        <v>2021</v>
      </c>
      <c r="C681" s="14" t="n">
        <v>10</v>
      </c>
      <c r="D681" s="14" t="s">
        <v>59</v>
      </c>
      <c r="E681" s="15" t="n">
        <v>374005.05</v>
      </c>
      <c r="F681" s="15" t="n">
        <v>220672.22</v>
      </c>
      <c r="G681" s="16" t="n">
        <f aca="false">ROUND(E681+F681,2)</f>
        <v>594677.27</v>
      </c>
    </row>
    <row r="682" customFormat="false" ht="15" hidden="false" customHeight="false" outlineLevel="0" collapsed="false">
      <c r="A682" s="14" t="s">
        <v>14</v>
      </c>
      <c r="B682" s="14" t="n">
        <v>2021</v>
      </c>
      <c r="C682" s="14" t="n">
        <v>11</v>
      </c>
      <c r="D682" s="14" t="s">
        <v>60</v>
      </c>
      <c r="E682" s="15" t="n">
        <v>377862.19</v>
      </c>
      <c r="F682" s="15" t="n">
        <v>230112.49</v>
      </c>
      <c r="G682" s="16" t="n">
        <f aca="false">ROUND(E682+F682,2)</f>
        <v>607974.68</v>
      </c>
    </row>
    <row r="683" customFormat="false" ht="15" hidden="false" customHeight="false" outlineLevel="0" collapsed="false">
      <c r="A683" s="14" t="s">
        <v>14</v>
      </c>
      <c r="B683" s="14" t="n">
        <v>2021</v>
      </c>
      <c r="C683" s="14" t="n">
        <v>12</v>
      </c>
      <c r="D683" s="14" t="s">
        <v>61</v>
      </c>
      <c r="E683" s="15" t="n">
        <v>385310.14</v>
      </c>
      <c r="F683" s="15" t="n">
        <v>214242.11</v>
      </c>
      <c r="G683" s="16" t="n">
        <f aca="false">ROUND(E683+F683,2)</f>
        <v>599552.25</v>
      </c>
    </row>
    <row r="684" customFormat="false" ht="15" hidden="false" customHeight="false" outlineLevel="0" collapsed="false">
      <c r="A684" s="14" t="s">
        <v>14</v>
      </c>
      <c r="B684" s="14" t="n">
        <v>2022</v>
      </c>
      <c r="C684" s="14" t="n">
        <v>1</v>
      </c>
      <c r="D684" s="14" t="s">
        <v>50</v>
      </c>
      <c r="E684" s="15" t="n">
        <v>380116.97</v>
      </c>
      <c r="F684" s="15" t="n">
        <v>214484.65</v>
      </c>
      <c r="G684" s="16" t="n">
        <f aca="false">ROUND(E684+F684,2)</f>
        <v>594601.62</v>
      </c>
    </row>
    <row r="685" customFormat="false" ht="15" hidden="false" customHeight="false" outlineLevel="0" collapsed="false">
      <c r="A685" s="14" t="s">
        <v>14</v>
      </c>
      <c r="B685" s="14" t="n">
        <v>2022</v>
      </c>
      <c r="C685" s="14" t="n">
        <v>2</v>
      </c>
      <c r="D685" s="14" t="s">
        <v>51</v>
      </c>
      <c r="E685" s="15" t="n">
        <v>387097.59</v>
      </c>
      <c r="F685" s="15" t="n">
        <v>202833.56</v>
      </c>
      <c r="G685" s="16" t="n">
        <f aca="false">ROUND(E685+F685,2)</f>
        <v>589931.15</v>
      </c>
    </row>
    <row r="686" customFormat="false" ht="15" hidden="false" customHeight="false" outlineLevel="0" collapsed="false">
      <c r="A686" s="14" t="s">
        <v>14</v>
      </c>
      <c r="B686" s="14" t="n">
        <v>2022</v>
      </c>
      <c r="C686" s="14" t="n">
        <v>3</v>
      </c>
      <c r="D686" s="14" t="s">
        <v>52</v>
      </c>
      <c r="E686" s="15" t="n">
        <v>442118.29</v>
      </c>
      <c r="F686" s="15" t="n">
        <v>226803.26</v>
      </c>
      <c r="G686" s="16" t="n">
        <f aca="false">ROUND(E686+F686,2)</f>
        <v>668921.55</v>
      </c>
    </row>
    <row r="687" customFormat="false" ht="15" hidden="false" customHeight="false" outlineLevel="0" collapsed="false">
      <c r="A687" s="14" t="s">
        <v>14</v>
      </c>
      <c r="B687" s="14" t="n">
        <v>2022</v>
      </c>
      <c r="C687" s="14" t="n">
        <v>4</v>
      </c>
      <c r="D687" s="14" t="s">
        <v>53</v>
      </c>
      <c r="E687" s="15" t="n">
        <v>445195.99</v>
      </c>
      <c r="F687" s="15" t="n">
        <v>256919.74</v>
      </c>
      <c r="G687" s="16" t="n">
        <f aca="false">ROUND(E687+F687,2)</f>
        <v>702115.73</v>
      </c>
    </row>
    <row r="688" customFormat="false" ht="15" hidden="false" customHeight="false" outlineLevel="0" collapsed="false">
      <c r="A688" s="14" t="s">
        <v>14</v>
      </c>
      <c r="B688" s="14" t="n">
        <v>2022</v>
      </c>
      <c r="C688" s="14" t="n">
        <v>5</v>
      </c>
      <c r="D688" s="14" t="s">
        <v>54</v>
      </c>
      <c r="E688" s="15" t="n">
        <v>428917.37</v>
      </c>
      <c r="F688" s="15" t="n">
        <v>235773.44</v>
      </c>
      <c r="G688" s="16" t="n">
        <f aca="false">ROUND(E688+F688,2)</f>
        <v>664690.81</v>
      </c>
    </row>
    <row r="689" customFormat="false" ht="15" hidden="false" customHeight="false" outlineLevel="0" collapsed="false">
      <c r="A689" s="14" t="s">
        <v>14</v>
      </c>
      <c r="B689" s="14" t="n">
        <v>2022</v>
      </c>
      <c r="C689" s="14" t="n">
        <v>6</v>
      </c>
      <c r="D689" s="14" t="s">
        <v>55</v>
      </c>
      <c r="E689" s="15" t="n">
        <v>502098.19</v>
      </c>
      <c r="F689" s="15" t="n">
        <v>276515.37</v>
      </c>
      <c r="G689" s="16" t="n">
        <f aca="false">ROUND(E689+F689,2)</f>
        <v>778613.56</v>
      </c>
    </row>
    <row r="690" customFormat="false" ht="15" hidden="false" customHeight="false" outlineLevel="0" collapsed="false">
      <c r="A690" s="14" t="s">
        <v>14</v>
      </c>
      <c r="B690" s="14" t="n">
        <v>2022</v>
      </c>
      <c r="C690" s="14" t="n">
        <v>7</v>
      </c>
      <c r="D690" s="14" t="s">
        <v>56</v>
      </c>
      <c r="E690" s="15" t="n">
        <v>462535.83</v>
      </c>
      <c r="F690" s="15" t="n">
        <v>271144.11</v>
      </c>
      <c r="G690" s="16" t="n">
        <f aca="false">ROUND(E690+F690,2)</f>
        <v>733679.94</v>
      </c>
    </row>
    <row r="691" customFormat="false" ht="15" hidden="false" customHeight="false" outlineLevel="0" collapsed="false">
      <c r="A691" s="14" t="s">
        <v>14</v>
      </c>
      <c r="B691" s="14" t="n">
        <v>2022</v>
      </c>
      <c r="C691" s="14" t="n">
        <v>8</v>
      </c>
      <c r="D691" s="14" t="s">
        <v>57</v>
      </c>
      <c r="E691" s="15" t="n">
        <v>410333.92</v>
      </c>
      <c r="F691" s="15" t="n">
        <v>246738.86</v>
      </c>
      <c r="G691" s="16" t="n">
        <f aca="false">ROUND(E691+F691,2)</f>
        <v>657072.78</v>
      </c>
    </row>
    <row r="692" customFormat="false" ht="15" hidden="false" customHeight="false" outlineLevel="0" collapsed="false">
      <c r="A692" s="14" t="s">
        <v>14</v>
      </c>
      <c r="B692" s="14" t="n">
        <v>2022</v>
      </c>
      <c r="C692" s="14" t="n">
        <v>9</v>
      </c>
      <c r="D692" s="14" t="s">
        <v>58</v>
      </c>
      <c r="E692" s="15" t="n">
        <v>449871.35</v>
      </c>
      <c r="F692" s="15" t="n">
        <v>265164.93</v>
      </c>
      <c r="G692" s="16" t="n">
        <f aca="false">ROUND(E692+F692,2)</f>
        <v>715036.28</v>
      </c>
    </row>
    <row r="693" customFormat="false" ht="15" hidden="false" customHeight="false" outlineLevel="0" collapsed="false">
      <c r="A693" s="14" t="s">
        <v>14</v>
      </c>
      <c r="B693" s="14" t="n">
        <v>2022</v>
      </c>
      <c r="C693" s="14" t="n">
        <v>10</v>
      </c>
      <c r="D693" s="14" t="s">
        <v>59</v>
      </c>
      <c r="E693" s="15" t="n">
        <v>467931.05</v>
      </c>
      <c r="F693" s="15" t="n">
        <v>250830.61</v>
      </c>
      <c r="G693" s="16" t="n">
        <f aca="false">ROUND(E693+F693,2)</f>
        <v>718761.66</v>
      </c>
    </row>
    <row r="694" customFormat="false" ht="15" hidden="false" customHeight="false" outlineLevel="0" collapsed="false">
      <c r="A694" s="14" t="s">
        <v>14</v>
      </c>
      <c r="B694" s="14" t="n">
        <v>2022</v>
      </c>
      <c r="C694" s="14" t="n">
        <v>11</v>
      </c>
      <c r="D694" s="14" t="s">
        <v>60</v>
      </c>
      <c r="E694" s="15" t="n">
        <v>408605.55</v>
      </c>
      <c r="F694" s="15" t="n">
        <v>249801.29</v>
      </c>
      <c r="G694" s="16" t="n">
        <f aca="false">ROUND(E694+F694,2)</f>
        <v>658406.84</v>
      </c>
    </row>
    <row r="695" customFormat="false" ht="15" hidden="false" customHeight="false" outlineLevel="0" collapsed="false">
      <c r="A695" s="14" t="s">
        <v>14</v>
      </c>
      <c r="B695" s="14" t="n">
        <v>2022</v>
      </c>
      <c r="C695" s="14" t="n">
        <v>12</v>
      </c>
      <c r="D695" s="14" t="s">
        <v>61</v>
      </c>
      <c r="E695" s="15" t="n">
        <v>398302.7</v>
      </c>
      <c r="F695" s="15" t="n">
        <v>193336.18</v>
      </c>
      <c r="G695" s="16" t="n">
        <f aca="false">ROUND(E695+F695,2)</f>
        <v>591638.88</v>
      </c>
    </row>
    <row r="696" customFormat="false" ht="15" hidden="false" customHeight="false" outlineLevel="0" collapsed="false">
      <c r="A696" s="14" t="s">
        <v>14</v>
      </c>
      <c r="B696" s="14" t="n">
        <v>2023</v>
      </c>
      <c r="C696" s="14" t="n">
        <v>1</v>
      </c>
      <c r="D696" s="14" t="s">
        <v>50</v>
      </c>
      <c r="E696" s="15" t="n">
        <v>506081.2</v>
      </c>
      <c r="F696" s="15" t="n">
        <v>228294.5</v>
      </c>
      <c r="G696" s="16" t="n">
        <f aca="false">ROUND(E696+F696,2)</f>
        <v>734375.7</v>
      </c>
    </row>
    <row r="697" customFormat="false" ht="15" hidden="false" customHeight="false" outlineLevel="0" collapsed="false">
      <c r="A697" s="14" t="s">
        <v>14</v>
      </c>
      <c r="B697" s="14" t="n">
        <v>2023</v>
      </c>
      <c r="C697" s="14" t="n">
        <v>2</v>
      </c>
      <c r="D697" s="14" t="s">
        <v>51</v>
      </c>
      <c r="E697" s="15" t="n">
        <v>473263.01</v>
      </c>
      <c r="F697" s="15" t="n">
        <v>195577.72</v>
      </c>
      <c r="G697" s="16" t="n">
        <f aca="false">ROUND(E697+F697,2)</f>
        <v>668840.73</v>
      </c>
    </row>
    <row r="698" customFormat="false" ht="15" hidden="false" customHeight="false" outlineLevel="0" collapsed="false">
      <c r="A698" s="14" t="s">
        <v>14</v>
      </c>
      <c r="B698" s="14" t="n">
        <v>2023</v>
      </c>
      <c r="C698" s="14" t="n">
        <v>3</v>
      </c>
      <c r="D698" s="14" t="s">
        <v>52</v>
      </c>
      <c r="E698" s="15" t="n">
        <v>558724.63</v>
      </c>
      <c r="F698" s="15" t="n">
        <v>265848.06</v>
      </c>
      <c r="G698" s="16" t="n">
        <f aca="false">ROUND(E698+F698,2)</f>
        <v>824572.69</v>
      </c>
    </row>
    <row r="699" customFormat="false" ht="15" hidden="false" customHeight="false" outlineLevel="0" collapsed="false">
      <c r="A699" s="14" t="s">
        <v>14</v>
      </c>
      <c r="B699" s="14" t="n">
        <v>2023</v>
      </c>
      <c r="C699" s="14" t="n">
        <v>4</v>
      </c>
      <c r="D699" s="14" t="s">
        <v>53</v>
      </c>
      <c r="E699" s="15" t="n">
        <v>541343.69</v>
      </c>
      <c r="F699" s="15" t="n">
        <v>265564.19</v>
      </c>
      <c r="G699" s="16" t="n">
        <f aca="false">ROUND(E699+F699,2)</f>
        <v>806907.88</v>
      </c>
    </row>
    <row r="700" customFormat="false" ht="15" hidden="false" customHeight="false" outlineLevel="0" collapsed="false">
      <c r="A700" s="14" t="s">
        <v>14</v>
      </c>
      <c r="B700" s="14" t="n">
        <v>2023</v>
      </c>
      <c r="C700" s="14" t="n">
        <v>5</v>
      </c>
      <c r="D700" s="14" t="s">
        <v>54</v>
      </c>
      <c r="E700" s="15" t="n">
        <v>555056.26</v>
      </c>
      <c r="F700" s="15" t="n">
        <v>298676.35</v>
      </c>
      <c r="G700" s="16" t="n">
        <f aca="false">ROUND(E700+F700,2)</f>
        <v>853732.61</v>
      </c>
    </row>
    <row r="701" customFormat="false" ht="15" hidden="false" customHeight="false" outlineLevel="0" collapsed="false">
      <c r="A701" s="14" t="s">
        <v>14</v>
      </c>
      <c r="B701" s="14" t="n">
        <v>2023</v>
      </c>
      <c r="C701" s="14" t="n">
        <v>6</v>
      </c>
      <c r="D701" s="14" t="s">
        <v>55</v>
      </c>
      <c r="E701" s="15" t="n">
        <v>522083.54</v>
      </c>
      <c r="F701" s="15" t="n">
        <v>283365.51</v>
      </c>
      <c r="G701" s="16" t="n">
        <f aca="false">ROUND(E701+F701,2)</f>
        <v>805449.05</v>
      </c>
    </row>
    <row r="702" customFormat="false" ht="15" hidden="false" customHeight="false" outlineLevel="0" collapsed="false">
      <c r="A702" s="14" t="s">
        <v>14</v>
      </c>
      <c r="B702" s="14" t="n">
        <v>2023</v>
      </c>
      <c r="C702" s="14" t="n">
        <v>7</v>
      </c>
      <c r="D702" s="14" t="s">
        <v>56</v>
      </c>
      <c r="E702" s="15" t="n">
        <v>609797.27</v>
      </c>
      <c r="F702" s="15" t="n">
        <v>338318.78</v>
      </c>
      <c r="G702" s="16" t="n">
        <f aca="false">ROUND(E702+F702,2)</f>
        <v>948116.05</v>
      </c>
    </row>
    <row r="703" customFormat="false" ht="15" hidden="false" customHeight="false" outlineLevel="0" collapsed="false">
      <c r="A703" s="14" t="s">
        <v>14</v>
      </c>
      <c r="B703" s="14" t="n">
        <v>2023</v>
      </c>
      <c r="C703" s="14" t="n">
        <v>8</v>
      </c>
      <c r="D703" s="14" t="s">
        <v>57</v>
      </c>
      <c r="E703" s="15" t="n">
        <v>574874.99</v>
      </c>
      <c r="F703" s="15" t="n">
        <v>306424</v>
      </c>
      <c r="G703" s="16" t="n">
        <f aca="false">ROUND(E703+F703,2)</f>
        <v>881298.99</v>
      </c>
    </row>
    <row r="704" customFormat="false" ht="15" hidden="false" customHeight="false" outlineLevel="0" collapsed="false">
      <c r="A704" s="14" t="s">
        <v>14</v>
      </c>
      <c r="B704" s="14" t="n">
        <v>2023</v>
      </c>
      <c r="C704" s="14" t="n">
        <v>9</v>
      </c>
      <c r="D704" s="14" t="s">
        <v>58</v>
      </c>
      <c r="E704" s="15" t="n">
        <v>570811.29</v>
      </c>
      <c r="F704" s="15" t="n">
        <v>314245.59</v>
      </c>
      <c r="G704" s="16" t="n">
        <f aca="false">ROUND(E704+F704,2)</f>
        <v>885056.88</v>
      </c>
    </row>
    <row r="705" customFormat="false" ht="15" hidden="false" customHeight="false" outlineLevel="0" collapsed="false">
      <c r="A705" s="14" t="s">
        <v>14</v>
      </c>
      <c r="B705" s="14" t="n">
        <v>2023</v>
      </c>
      <c r="C705" s="14" t="n">
        <v>10</v>
      </c>
      <c r="D705" s="14" t="s">
        <v>59</v>
      </c>
      <c r="E705" s="15" t="n">
        <v>613886.6</v>
      </c>
      <c r="F705" s="15" t="n">
        <v>323769.95</v>
      </c>
      <c r="G705" s="16" t="n">
        <f aca="false">ROUND(E705+F705,2)</f>
        <v>937656.55</v>
      </c>
    </row>
    <row r="706" customFormat="false" ht="15" hidden="false" customHeight="false" outlineLevel="0" collapsed="false">
      <c r="A706" s="14" t="s">
        <v>14</v>
      </c>
      <c r="B706" s="14" t="n">
        <v>2023</v>
      </c>
      <c r="C706" s="14" t="n">
        <v>11</v>
      </c>
      <c r="D706" s="14" t="s">
        <v>60</v>
      </c>
      <c r="E706" s="15" t="n">
        <v>537462.52</v>
      </c>
      <c r="F706" s="15" t="n">
        <v>286781.59</v>
      </c>
      <c r="G706" s="16" t="n">
        <f aca="false">ROUND(E706+F706,2)</f>
        <v>824244.11</v>
      </c>
    </row>
    <row r="707" customFormat="false" ht="15" hidden="false" customHeight="false" outlineLevel="0" collapsed="false">
      <c r="A707" s="14" t="s">
        <v>14</v>
      </c>
      <c r="B707" s="14" t="n">
        <v>2023</v>
      </c>
      <c r="C707" s="14" t="n">
        <v>12</v>
      </c>
      <c r="D707" s="14" t="s">
        <v>61</v>
      </c>
      <c r="E707" s="15" t="n">
        <v>547145.78</v>
      </c>
      <c r="F707" s="15" t="n">
        <v>261766.56</v>
      </c>
      <c r="G707" s="16" t="n">
        <f aca="false">ROUND(E707+F707,2)</f>
        <v>808912.34</v>
      </c>
    </row>
    <row r="708" customFormat="false" ht="15" hidden="false" customHeight="false" outlineLevel="0" collapsed="false">
      <c r="A708" s="14" t="s">
        <v>14</v>
      </c>
      <c r="B708" s="14" t="n">
        <v>2024</v>
      </c>
      <c r="C708" s="14" t="n">
        <v>1</v>
      </c>
      <c r="D708" s="14" t="s">
        <v>50</v>
      </c>
      <c r="E708" s="15" t="n">
        <v>616585.12</v>
      </c>
      <c r="F708" s="15" t="n">
        <v>310149.9</v>
      </c>
      <c r="G708" s="16" t="n">
        <f aca="false">ROUND(E708+F708,2)</f>
        <v>926735.02</v>
      </c>
    </row>
    <row r="709" customFormat="false" ht="15" hidden="false" customHeight="false" outlineLevel="0" collapsed="false">
      <c r="A709" s="14" t="s">
        <v>14</v>
      </c>
      <c r="B709" s="14" t="n">
        <v>2024</v>
      </c>
      <c r="C709" s="14" t="n">
        <v>2</v>
      </c>
      <c r="D709" s="14" t="s">
        <v>51</v>
      </c>
      <c r="E709" s="15" t="n">
        <v>572448.48</v>
      </c>
      <c r="F709" s="15" t="n">
        <v>283759.61</v>
      </c>
      <c r="G709" s="16" t="n">
        <f aca="false">ROUND(E709+F709,2)</f>
        <v>856208.09</v>
      </c>
    </row>
    <row r="710" customFormat="false" ht="15" hidden="false" customHeight="false" outlineLevel="0" collapsed="false">
      <c r="A710" s="14" t="s">
        <v>14</v>
      </c>
      <c r="B710" s="14" t="n">
        <v>2024</v>
      </c>
      <c r="C710" s="14" t="n">
        <v>3</v>
      </c>
      <c r="D710" s="14" t="s">
        <v>52</v>
      </c>
      <c r="E710" s="15" t="n">
        <v>700802.12</v>
      </c>
      <c r="F710" s="15" t="n">
        <v>327470.83</v>
      </c>
      <c r="G710" s="16" t="n">
        <f aca="false">ROUND(E710+F710,2)</f>
        <v>1028272.95</v>
      </c>
    </row>
    <row r="711" customFormat="false" ht="15" hidden="false" customHeight="false" outlineLevel="0" collapsed="false">
      <c r="A711" s="14" t="s">
        <v>14</v>
      </c>
      <c r="B711" s="14" t="n">
        <v>2024</v>
      </c>
      <c r="C711" s="14" t="n">
        <v>4</v>
      </c>
      <c r="D711" s="14" t="s">
        <v>53</v>
      </c>
      <c r="E711" s="15" t="n">
        <v>634979.67</v>
      </c>
      <c r="F711" s="15" t="n">
        <v>302436.28</v>
      </c>
      <c r="G711" s="16" t="n">
        <f aca="false">ROUND(E711+F711,2)</f>
        <v>937415.95</v>
      </c>
    </row>
    <row r="712" customFormat="false" ht="15" hidden="false" customHeight="false" outlineLevel="0" collapsed="false">
      <c r="A712" s="14" t="s">
        <v>14</v>
      </c>
      <c r="B712" s="14" t="n">
        <v>2024</v>
      </c>
      <c r="C712" s="14" t="n">
        <v>5</v>
      </c>
      <c r="D712" s="14" t="s">
        <v>54</v>
      </c>
      <c r="E712" s="15" t="n">
        <v>636148.12</v>
      </c>
      <c r="F712" s="15" t="n">
        <v>338653.03</v>
      </c>
      <c r="G712" s="16" t="n">
        <f aca="false">ROUND(E712+F712,2)</f>
        <v>974801.15</v>
      </c>
    </row>
    <row r="713" customFormat="false" ht="15" hidden="false" customHeight="false" outlineLevel="0" collapsed="false">
      <c r="A713" s="14" t="s">
        <v>14</v>
      </c>
      <c r="B713" s="14" t="n">
        <v>2024</v>
      </c>
      <c r="C713" s="14" t="n">
        <v>6</v>
      </c>
      <c r="D713" s="14" t="s">
        <v>55</v>
      </c>
      <c r="E713" s="15" t="n">
        <v>401862.58</v>
      </c>
      <c r="F713" s="15" t="n">
        <v>190629.1</v>
      </c>
      <c r="G713" s="16" t="n">
        <f aca="false">ROUND(E713+F713,2)</f>
        <v>592491.68</v>
      </c>
    </row>
    <row r="714" customFormat="false" ht="15" hidden="false" customHeight="false" outlineLevel="0" collapsed="false">
      <c r="A714" s="14" t="s">
        <v>14</v>
      </c>
      <c r="B714" s="14" t="n">
        <v>2024</v>
      </c>
      <c r="C714" s="14" t="n">
        <v>7</v>
      </c>
      <c r="D714" s="14" t="s">
        <v>56</v>
      </c>
      <c r="E714" s="15" t="n">
        <v>641022.89</v>
      </c>
      <c r="F714" s="15" t="n">
        <v>349253.15</v>
      </c>
      <c r="G714" s="16" t="n">
        <f aca="false">ROUND(E714+F714,2)</f>
        <v>990276.04</v>
      </c>
    </row>
    <row r="715" customFormat="false" ht="15" hidden="false" customHeight="false" outlineLevel="0" collapsed="false">
      <c r="A715" s="14" t="s">
        <v>14</v>
      </c>
      <c r="B715" s="14" t="n">
        <v>2024</v>
      </c>
      <c r="C715" s="14" t="n">
        <v>8</v>
      </c>
      <c r="D715" s="14" t="s">
        <v>57</v>
      </c>
      <c r="E715" s="15" t="n">
        <v>635276.48</v>
      </c>
      <c r="F715" s="15" t="n">
        <v>359373.55</v>
      </c>
      <c r="G715" s="16" t="n">
        <f aca="false">ROUND(E715+F715,2)</f>
        <v>994650.03</v>
      </c>
    </row>
    <row r="716" customFormat="false" ht="15" hidden="false" customHeight="false" outlineLevel="0" collapsed="false">
      <c r="A716" s="14" t="s">
        <v>14</v>
      </c>
      <c r="B716" s="14" t="n">
        <v>2024</v>
      </c>
      <c r="C716" s="14" t="n">
        <v>9</v>
      </c>
      <c r="D716" s="14" t="s">
        <v>58</v>
      </c>
      <c r="E716" s="15" t="n">
        <v>597439.52</v>
      </c>
      <c r="F716" s="15" t="n">
        <v>283412.35</v>
      </c>
      <c r="G716" s="16" t="n">
        <f aca="false">ROUND(E716+F716,2)</f>
        <v>880851.87</v>
      </c>
    </row>
    <row r="717" customFormat="false" ht="15" hidden="false" customHeight="false" outlineLevel="0" collapsed="false">
      <c r="A717" s="14" t="s">
        <v>14</v>
      </c>
      <c r="B717" s="14" t="n">
        <v>2024</v>
      </c>
      <c r="C717" s="14" t="n">
        <v>10</v>
      </c>
      <c r="D717" s="14" t="s">
        <v>59</v>
      </c>
      <c r="E717" s="15" t="n">
        <v>609303.17</v>
      </c>
      <c r="F717" s="15" t="n">
        <v>319117.24</v>
      </c>
      <c r="G717" s="16" t="n">
        <f aca="false">ROUND(E717+F717,2)</f>
        <v>928420.41</v>
      </c>
    </row>
    <row r="718" customFormat="false" ht="15" hidden="false" customHeight="false" outlineLevel="0" collapsed="false">
      <c r="A718" s="14" t="s">
        <v>14</v>
      </c>
      <c r="B718" s="14" t="n">
        <v>2024</v>
      </c>
      <c r="C718" s="14" t="n">
        <v>11</v>
      </c>
      <c r="D718" s="14" t="s">
        <v>60</v>
      </c>
      <c r="E718" s="15" t="n">
        <v>589558.33</v>
      </c>
      <c r="F718" s="15" t="n">
        <v>304585.54</v>
      </c>
      <c r="G718" s="16" t="n">
        <f aca="false">ROUND(E718+F718,2)</f>
        <v>894143.87</v>
      </c>
    </row>
    <row r="719" customFormat="false" ht="15" hidden="false" customHeight="false" outlineLevel="0" collapsed="false">
      <c r="A719" s="14" t="s">
        <v>14</v>
      </c>
      <c r="B719" s="14" t="n">
        <v>2024</v>
      </c>
      <c r="C719" s="14" t="n">
        <v>12</v>
      </c>
      <c r="D719" s="14" t="s">
        <v>61</v>
      </c>
      <c r="E719" s="15" t="n">
        <v>540125.59</v>
      </c>
      <c r="F719" s="15" t="n">
        <v>253388.25</v>
      </c>
      <c r="G719" s="16" t="n">
        <f aca="false">ROUND(E719+F719,2)</f>
        <v>793513.84</v>
      </c>
    </row>
    <row r="720" customFormat="false" ht="15" hidden="false" customHeight="false" outlineLevel="0" collapsed="false">
      <c r="A720" s="14" t="s">
        <v>14</v>
      </c>
      <c r="B720" s="14" t="n">
        <v>2025</v>
      </c>
      <c r="C720" s="14" t="n">
        <v>1</v>
      </c>
      <c r="D720" s="14" t="s">
        <v>50</v>
      </c>
      <c r="E720" s="15" t="n">
        <v>673827.96</v>
      </c>
      <c r="F720" s="15" t="n">
        <v>294092.65</v>
      </c>
      <c r="G720" s="16" t="n">
        <f aca="false">ROUND(E720+F720,2)</f>
        <v>967920.61</v>
      </c>
    </row>
    <row r="721" customFormat="false" ht="15" hidden="false" customHeight="false" outlineLevel="0" collapsed="false">
      <c r="A721" s="14" t="s">
        <v>14</v>
      </c>
      <c r="B721" s="14" t="n">
        <v>2025</v>
      </c>
      <c r="C721" s="14" t="n">
        <v>2</v>
      </c>
      <c r="D721" s="14" t="s">
        <v>51</v>
      </c>
      <c r="E721" s="15" t="n">
        <v>749491.65</v>
      </c>
      <c r="F721" s="15" t="n">
        <v>273659.55</v>
      </c>
      <c r="G721" s="16" t="n">
        <f aca="false">ROUND(E721+F721,2)</f>
        <v>1023151.2</v>
      </c>
    </row>
    <row r="722" customFormat="false" ht="15" hidden="false" customHeight="false" outlineLevel="0" collapsed="false">
      <c r="A722" s="14" t="s">
        <v>14</v>
      </c>
      <c r="B722" s="14" t="n">
        <v>2025</v>
      </c>
      <c r="C722" s="14" t="n">
        <v>3</v>
      </c>
      <c r="D722" s="14" t="s">
        <v>52</v>
      </c>
      <c r="E722" s="15" t="n">
        <v>806776.87</v>
      </c>
      <c r="F722" s="15" t="n">
        <v>307634.71</v>
      </c>
      <c r="G722" s="16" t="n">
        <f aca="false">ROUND(E722+F722,2)</f>
        <v>1114411.58</v>
      </c>
    </row>
    <row r="723" customFormat="false" ht="15" hidden="false" customHeight="false" outlineLevel="0" collapsed="false">
      <c r="A723" s="14" t="s">
        <v>14</v>
      </c>
      <c r="B723" s="14" t="n">
        <v>2025</v>
      </c>
      <c r="C723" s="14" t="n">
        <v>4</v>
      </c>
      <c r="D723" s="14" t="s">
        <v>53</v>
      </c>
      <c r="E723" s="15" t="n">
        <v>790655.95</v>
      </c>
      <c r="F723" s="15" t="n">
        <v>325111.15</v>
      </c>
      <c r="G723" s="16" t="n">
        <f aca="false">ROUND(E723+F723,2)</f>
        <v>1115767.1</v>
      </c>
    </row>
    <row r="724" customFormat="false" ht="15" hidden="false" customHeight="false" outlineLevel="0" collapsed="false">
      <c r="A724" s="14" t="s">
        <v>14</v>
      </c>
      <c r="B724" s="14" t="n">
        <v>2025</v>
      </c>
      <c r="C724" s="14" t="n">
        <v>5</v>
      </c>
      <c r="D724" s="14" t="s">
        <v>54</v>
      </c>
      <c r="E724" s="15" t="n">
        <v>716533.45</v>
      </c>
      <c r="F724" s="15" t="n">
        <v>307279.37</v>
      </c>
      <c r="G724" s="16" t="n">
        <f aca="false">ROUND(E724+F724,2)</f>
        <v>1023812.82</v>
      </c>
    </row>
    <row r="725" customFormat="false" ht="15" hidden="false" customHeight="false" outlineLevel="0" collapsed="false">
      <c r="A725" s="14" t="s">
        <v>14</v>
      </c>
      <c r="B725" s="14" t="n">
        <v>2025</v>
      </c>
      <c r="C725" s="14" t="n">
        <v>6</v>
      </c>
      <c r="D725" s="14" t="s">
        <v>55</v>
      </c>
      <c r="E725" s="15" t="n">
        <v>747376.46</v>
      </c>
      <c r="F725" s="15" t="n">
        <v>335477.15</v>
      </c>
      <c r="G725" s="16" t="n">
        <f aca="false">ROUND(E725+F725,2)</f>
        <v>1082853.61</v>
      </c>
    </row>
    <row r="726" customFormat="false" ht="15" hidden="false" customHeight="false" outlineLevel="0" collapsed="false">
      <c r="A726" s="14" t="s">
        <v>14</v>
      </c>
      <c r="B726" s="14" t="n">
        <v>2025</v>
      </c>
      <c r="C726" s="14" t="n">
        <v>7</v>
      </c>
      <c r="D726" s="14" t="s">
        <v>56</v>
      </c>
      <c r="E726" s="15" t="n">
        <v>805503.98</v>
      </c>
      <c r="F726" s="15" t="n">
        <v>346518.11</v>
      </c>
      <c r="G726" s="16" t="n">
        <f aca="false">ROUND(E726+F726,2)</f>
        <v>1152022.09</v>
      </c>
    </row>
    <row r="727" customFormat="false" ht="15" hidden="false" customHeight="false" outlineLevel="0" collapsed="false">
      <c r="A727" s="14" t="s">
        <v>14</v>
      </c>
      <c r="B727" s="14" t="n">
        <v>2025</v>
      </c>
      <c r="C727" s="14" t="n">
        <v>8</v>
      </c>
      <c r="D727" s="14" t="s">
        <v>57</v>
      </c>
      <c r="E727" s="15" t="n">
        <v>712082.62</v>
      </c>
      <c r="F727" s="15" t="n">
        <v>352073.3</v>
      </c>
      <c r="G727" s="16" t="n">
        <f aca="false">ROUND(E727+F727,2)</f>
        <v>1064155.92</v>
      </c>
    </row>
    <row r="728" customFormat="false" ht="15" hidden="false" customHeight="false" outlineLevel="0" collapsed="false">
      <c r="A728" s="14" t="s">
        <v>14</v>
      </c>
      <c r="B728" s="14" t="n">
        <v>2025</v>
      </c>
      <c r="C728" s="14" t="n">
        <v>9</v>
      </c>
      <c r="D728" s="14" t="s">
        <v>58</v>
      </c>
      <c r="E728" s="15" t="n">
        <v>611615.1</v>
      </c>
      <c r="F728" s="15" t="n">
        <v>300562.89</v>
      </c>
      <c r="G728" s="16" t="n">
        <f aca="false">ROUND(E728+F728,2)</f>
        <v>912177.99</v>
      </c>
    </row>
    <row r="729" customFormat="false" ht="15" hidden="false" customHeight="false" outlineLevel="0" collapsed="false">
      <c r="A729" s="14" t="s">
        <v>14</v>
      </c>
      <c r="B729" s="14" t="n">
        <v>2025</v>
      </c>
      <c r="C729" s="14" t="n">
        <v>10</v>
      </c>
      <c r="D729" s="14" t="s">
        <v>59</v>
      </c>
      <c r="E729" s="15" t="n">
        <v>664397.7</v>
      </c>
      <c r="F729" s="15" t="n">
        <v>304953.98</v>
      </c>
      <c r="G729" s="16" t="n">
        <f aca="false">ROUND(E729+F729,2)</f>
        <v>969351.68</v>
      </c>
    </row>
    <row r="730" customFormat="false" ht="15" hidden="false" customHeight="false" outlineLevel="0" collapsed="false">
      <c r="A730" s="14" t="s">
        <v>14</v>
      </c>
      <c r="B730" s="14" t="n">
        <v>2025</v>
      </c>
      <c r="C730" s="14" t="n">
        <v>11</v>
      </c>
      <c r="D730" s="14" t="s">
        <v>60</v>
      </c>
      <c r="E730" s="15" t="n">
        <v>552112.1</v>
      </c>
      <c r="F730" s="15" t="n">
        <v>291702.11</v>
      </c>
      <c r="G730" s="16" t="n">
        <f aca="false">ROUND(E730+F730,2)</f>
        <v>843814.21</v>
      </c>
    </row>
    <row r="731" customFormat="false" ht="15" hidden="false" customHeight="false" outlineLevel="0" collapsed="false">
      <c r="A731" s="14" t="s">
        <v>14</v>
      </c>
      <c r="B731" s="14" t="n">
        <v>2025</v>
      </c>
      <c r="C731" s="14" t="n">
        <v>12</v>
      </c>
      <c r="D731" s="14" t="s">
        <v>61</v>
      </c>
      <c r="E731" s="15" t="n">
        <v>508771.36</v>
      </c>
      <c r="F731" s="15" t="n">
        <v>259357</v>
      </c>
      <c r="G731" s="16" t="n">
        <f aca="false">ROUND(E731+F731,2)</f>
        <v>768128.36</v>
      </c>
    </row>
    <row r="732" customFormat="false" ht="15" hidden="false" customHeight="false" outlineLevel="0" collapsed="false">
      <c r="A732" s="14" t="s">
        <v>14</v>
      </c>
      <c r="B732" s="14" t="n">
        <v>2026</v>
      </c>
      <c r="C732" s="14" t="n">
        <v>1</v>
      </c>
      <c r="D732" s="14" t="s">
        <v>50</v>
      </c>
      <c r="E732" s="15" t="n">
        <v>606190.88</v>
      </c>
      <c r="F732" s="15" t="n">
        <v>265441.73</v>
      </c>
      <c r="G732" s="16" t="n">
        <f aca="false">ROUND(E732+F732,2)</f>
        <v>871632.61</v>
      </c>
    </row>
    <row r="733" customFormat="false" ht="15" hidden="false" customHeight="false" outlineLevel="0" collapsed="false">
      <c r="A733" s="14" t="s">
        <v>14</v>
      </c>
      <c r="B733" s="14" t="n">
        <v>2026</v>
      </c>
      <c r="C733" s="14" t="n">
        <v>2</v>
      </c>
      <c r="D733" s="14" t="s">
        <v>51</v>
      </c>
      <c r="E733" s="15" t="n">
        <v>576206.27</v>
      </c>
      <c r="F733" s="15" t="n">
        <v>260974.34</v>
      </c>
      <c r="G733" s="16" t="n">
        <f aca="false">ROUND(E733+F733,2)</f>
        <v>837180.61</v>
      </c>
    </row>
    <row r="734" customFormat="false" ht="15" hidden="false" customHeight="false" outlineLevel="0" collapsed="false">
      <c r="A734" s="14" t="s">
        <v>14</v>
      </c>
      <c r="B734" s="14" t="n">
        <v>2026</v>
      </c>
      <c r="C734" s="14" t="n">
        <v>3</v>
      </c>
      <c r="D734" s="14" t="s">
        <v>52</v>
      </c>
      <c r="E734" s="15" t="n">
        <v>654753.34</v>
      </c>
      <c r="F734" s="15" t="n">
        <v>283899.53</v>
      </c>
      <c r="G734" s="16" t="n">
        <f aca="false">ROUND(E734+F734,2)</f>
        <v>938652.87</v>
      </c>
    </row>
    <row r="735" customFormat="false" ht="15" hidden="false" customHeight="false" outlineLevel="0" collapsed="false">
      <c r="A735" s="14" t="s">
        <v>14</v>
      </c>
      <c r="B735" s="14" t="n">
        <v>2026</v>
      </c>
      <c r="C735" s="14" t="n">
        <v>4</v>
      </c>
      <c r="D735" s="14" t="s">
        <v>53</v>
      </c>
      <c r="E735" s="15" t="n">
        <v>632216.13</v>
      </c>
      <c r="F735" s="15" t="n">
        <v>303511.9</v>
      </c>
      <c r="G735" s="16" t="n">
        <f aca="false">ROUND(E735+F735,2)</f>
        <v>935728.03</v>
      </c>
    </row>
    <row r="736" customFormat="false" ht="15" hidden="false" customHeight="false" outlineLevel="0" collapsed="false">
      <c r="A736" s="14" t="s">
        <v>14</v>
      </c>
      <c r="B736" s="14" t="n">
        <v>2026</v>
      </c>
      <c r="C736" s="14" t="n">
        <v>5</v>
      </c>
      <c r="D736" s="14" t="s">
        <v>54</v>
      </c>
      <c r="E736" s="15" t="n">
        <v>647585.46</v>
      </c>
      <c r="F736" s="15" t="n">
        <v>279080.68</v>
      </c>
      <c r="G736" s="16" t="n">
        <f aca="false">ROUND(E736+F736,2)</f>
        <v>926666.14</v>
      </c>
    </row>
    <row r="737" customFormat="false" ht="15" hidden="false" customHeight="false" outlineLevel="0" collapsed="false">
      <c r="A737" s="14" t="s">
        <v>14</v>
      </c>
      <c r="B737" s="14" t="n">
        <v>2026</v>
      </c>
      <c r="C737" s="14" t="n">
        <v>6</v>
      </c>
      <c r="D737" s="14" t="s">
        <v>55</v>
      </c>
      <c r="E737" s="15" t="n">
        <v>705023.44</v>
      </c>
      <c r="F737" s="15" t="n">
        <v>325114.41</v>
      </c>
      <c r="G737" s="16" t="n">
        <f aca="false">ROUND(E737+F737,2)</f>
        <v>1030137.85</v>
      </c>
    </row>
    <row r="738" customFormat="false" ht="15" hidden="false" customHeight="false" outlineLevel="0" collapsed="false">
      <c r="A738" s="14" t="s">
        <v>14</v>
      </c>
      <c r="B738" s="14" t="n">
        <v>2026</v>
      </c>
      <c r="C738" s="14" t="n">
        <v>7</v>
      </c>
      <c r="D738" s="14" t="s">
        <v>56</v>
      </c>
      <c r="E738" s="15" t="n">
        <v>662392.5</v>
      </c>
      <c r="F738" s="15" t="n">
        <v>317254.72</v>
      </c>
      <c r="G738" s="16" t="n">
        <f aca="false">ROUND(E738+F738,2)</f>
        <v>979647.22</v>
      </c>
    </row>
    <row r="739" customFormat="false" ht="15" hidden="false" customHeight="false" outlineLevel="0" collapsed="false">
      <c r="A739" s="14" t="s">
        <v>25</v>
      </c>
      <c r="B739" s="14" t="n">
        <v>2024</v>
      </c>
      <c r="C739" s="14" t="n">
        <v>1</v>
      </c>
      <c r="D739" s="14" t="s">
        <v>50</v>
      </c>
      <c r="E739" s="15" t="n">
        <v>0</v>
      </c>
      <c r="F739" s="15" t="n">
        <v>0</v>
      </c>
      <c r="G739" s="16" t="n">
        <f aca="false">ROUND(E739+F739,2)</f>
        <v>0</v>
      </c>
    </row>
    <row r="740" customFormat="false" ht="15" hidden="false" customHeight="false" outlineLevel="0" collapsed="false">
      <c r="A740" s="14" t="s">
        <v>25</v>
      </c>
      <c r="B740" s="14" t="n">
        <v>2024</v>
      </c>
      <c r="C740" s="14" t="n">
        <v>2</v>
      </c>
      <c r="D740" s="14" t="s">
        <v>51</v>
      </c>
      <c r="E740" s="15" t="n">
        <v>0</v>
      </c>
      <c r="F740" s="15" t="n">
        <v>0</v>
      </c>
      <c r="G740" s="16" t="n">
        <f aca="false">ROUND(E740+F740,2)</f>
        <v>0</v>
      </c>
    </row>
    <row r="741" customFormat="false" ht="15" hidden="false" customHeight="false" outlineLevel="0" collapsed="false">
      <c r="A741" s="14" t="s">
        <v>25</v>
      </c>
      <c r="B741" s="14" t="n">
        <v>2024</v>
      </c>
      <c r="C741" s="14" t="n">
        <v>3</v>
      </c>
      <c r="D741" s="14" t="s">
        <v>52</v>
      </c>
      <c r="E741" s="15" t="n">
        <v>0</v>
      </c>
      <c r="F741" s="15" t="n">
        <v>0</v>
      </c>
      <c r="G741" s="16" t="n">
        <f aca="false">ROUND(E741+F741,2)</f>
        <v>0</v>
      </c>
    </row>
    <row r="742" customFormat="false" ht="15" hidden="false" customHeight="false" outlineLevel="0" collapsed="false">
      <c r="A742" s="14" t="s">
        <v>25</v>
      </c>
      <c r="B742" s="14" t="n">
        <v>2024</v>
      </c>
      <c r="C742" s="14" t="n">
        <v>4</v>
      </c>
      <c r="D742" s="14" t="s">
        <v>53</v>
      </c>
      <c r="E742" s="15" t="n">
        <v>0</v>
      </c>
      <c r="F742" s="15" t="n">
        <v>0</v>
      </c>
      <c r="G742" s="16" t="n">
        <f aca="false">ROUND(E742+F742,2)</f>
        <v>0</v>
      </c>
    </row>
    <row r="743" customFormat="false" ht="15" hidden="false" customHeight="false" outlineLevel="0" collapsed="false">
      <c r="A743" s="14" t="s">
        <v>25</v>
      </c>
      <c r="B743" s="14" t="n">
        <v>2024</v>
      </c>
      <c r="C743" s="14" t="n">
        <v>5</v>
      </c>
      <c r="D743" s="14" t="s">
        <v>54</v>
      </c>
      <c r="E743" s="15" t="n">
        <v>0</v>
      </c>
      <c r="F743" s="15" t="n">
        <v>0</v>
      </c>
      <c r="G743" s="16" t="n">
        <f aca="false">ROUND(E743+F743,2)</f>
        <v>0</v>
      </c>
    </row>
    <row r="744" customFormat="false" ht="15" hidden="false" customHeight="false" outlineLevel="0" collapsed="false">
      <c r="A744" s="14" t="s">
        <v>25</v>
      </c>
      <c r="B744" s="14" t="n">
        <v>2024</v>
      </c>
      <c r="C744" s="14" t="n">
        <v>6</v>
      </c>
      <c r="D744" s="14" t="s">
        <v>55</v>
      </c>
      <c r="E744" s="15" t="n">
        <v>0</v>
      </c>
      <c r="F744" s="15" t="n">
        <v>0</v>
      </c>
      <c r="G744" s="16" t="n">
        <f aca="false">ROUND(E744+F744,2)</f>
        <v>0</v>
      </c>
    </row>
    <row r="745" customFormat="false" ht="15" hidden="false" customHeight="false" outlineLevel="0" collapsed="false">
      <c r="A745" s="14" t="s">
        <v>25</v>
      </c>
      <c r="B745" s="14" t="n">
        <v>2024</v>
      </c>
      <c r="C745" s="14" t="n">
        <v>7</v>
      </c>
      <c r="D745" s="14" t="s">
        <v>56</v>
      </c>
      <c r="E745" s="15" t="n">
        <v>0</v>
      </c>
      <c r="F745" s="15" t="n">
        <v>0</v>
      </c>
      <c r="G745" s="16" t="n">
        <f aca="false">ROUND(E745+F745,2)</f>
        <v>0</v>
      </c>
    </row>
    <row r="746" customFormat="false" ht="15" hidden="false" customHeight="false" outlineLevel="0" collapsed="false">
      <c r="A746" s="14" t="s">
        <v>25</v>
      </c>
      <c r="B746" s="14" t="n">
        <v>2024</v>
      </c>
      <c r="C746" s="14" t="n">
        <v>8</v>
      </c>
      <c r="D746" s="14" t="s">
        <v>57</v>
      </c>
      <c r="E746" s="15" t="n">
        <v>29675</v>
      </c>
      <c r="F746" s="15" t="n">
        <v>18290.27</v>
      </c>
      <c r="G746" s="16" t="n">
        <f aca="false">ROUND(E746+F746,2)</f>
        <v>47965.27</v>
      </c>
    </row>
    <row r="747" customFormat="false" ht="15" hidden="false" customHeight="false" outlineLevel="0" collapsed="false">
      <c r="A747" s="14" t="s">
        <v>25</v>
      </c>
      <c r="B747" s="14" t="n">
        <v>2024</v>
      </c>
      <c r="C747" s="14" t="n">
        <v>9</v>
      </c>
      <c r="D747" s="14" t="s">
        <v>58</v>
      </c>
      <c r="E747" s="15" t="n">
        <v>188469.55</v>
      </c>
      <c r="F747" s="15" t="n">
        <v>115615.82</v>
      </c>
      <c r="G747" s="16" t="n">
        <f aca="false">ROUND(E747+F747,2)</f>
        <v>304085.37</v>
      </c>
    </row>
    <row r="748" customFormat="false" ht="15" hidden="false" customHeight="false" outlineLevel="0" collapsed="false">
      <c r="A748" s="14" t="s">
        <v>25</v>
      </c>
      <c r="B748" s="14" t="n">
        <v>2024</v>
      </c>
      <c r="C748" s="14" t="n">
        <v>10</v>
      </c>
      <c r="D748" s="14" t="s">
        <v>59</v>
      </c>
      <c r="E748" s="15" t="n">
        <v>226572.69</v>
      </c>
      <c r="F748" s="15" t="n">
        <v>159874.4</v>
      </c>
      <c r="G748" s="16" t="n">
        <f aca="false">ROUND(E748+F748,2)</f>
        <v>386447.09</v>
      </c>
    </row>
    <row r="749" customFormat="false" ht="15" hidden="false" customHeight="false" outlineLevel="0" collapsed="false">
      <c r="A749" s="14" t="s">
        <v>25</v>
      </c>
      <c r="B749" s="14" t="n">
        <v>2024</v>
      </c>
      <c r="C749" s="14" t="n">
        <v>11</v>
      </c>
      <c r="D749" s="14" t="s">
        <v>60</v>
      </c>
      <c r="E749" s="15" t="n">
        <v>237244.6</v>
      </c>
      <c r="F749" s="15" t="n">
        <v>137991.82</v>
      </c>
      <c r="G749" s="16" t="n">
        <f aca="false">ROUND(E749+F749,2)</f>
        <v>375236.42</v>
      </c>
    </row>
    <row r="750" customFormat="false" ht="15" hidden="false" customHeight="false" outlineLevel="0" collapsed="false">
      <c r="A750" s="14" t="s">
        <v>25</v>
      </c>
      <c r="B750" s="14" t="n">
        <v>2024</v>
      </c>
      <c r="C750" s="14" t="n">
        <v>12</v>
      </c>
      <c r="D750" s="14" t="s">
        <v>61</v>
      </c>
      <c r="E750" s="15" t="n">
        <v>224493.04</v>
      </c>
      <c r="F750" s="15" t="n">
        <v>128029.35</v>
      </c>
      <c r="G750" s="16" t="n">
        <f aca="false">ROUND(E750+F750,2)</f>
        <v>352522.39</v>
      </c>
    </row>
    <row r="751" customFormat="false" ht="15" hidden="false" customHeight="false" outlineLevel="0" collapsed="false">
      <c r="A751" s="14" t="s">
        <v>25</v>
      </c>
      <c r="B751" s="14" t="n">
        <v>2025</v>
      </c>
      <c r="C751" s="14" t="n">
        <v>1</v>
      </c>
      <c r="D751" s="14" t="s">
        <v>50</v>
      </c>
      <c r="E751" s="15" t="n">
        <v>278320.2</v>
      </c>
      <c r="F751" s="15" t="n">
        <v>150601.14</v>
      </c>
      <c r="G751" s="16" t="n">
        <f aca="false">ROUND(E751+F751,2)</f>
        <v>428921.34</v>
      </c>
    </row>
    <row r="752" customFormat="false" ht="15" hidden="false" customHeight="false" outlineLevel="0" collapsed="false">
      <c r="A752" s="14" t="s">
        <v>25</v>
      </c>
      <c r="B752" s="14" t="n">
        <v>2025</v>
      </c>
      <c r="C752" s="14" t="n">
        <v>2</v>
      </c>
      <c r="D752" s="14" t="s">
        <v>51</v>
      </c>
      <c r="E752" s="15" t="n">
        <v>243823.21</v>
      </c>
      <c r="F752" s="15" t="n">
        <v>139199.62</v>
      </c>
      <c r="G752" s="16" t="n">
        <f aca="false">ROUND(E752+F752,2)</f>
        <v>383022.83</v>
      </c>
    </row>
    <row r="753" customFormat="false" ht="15" hidden="false" customHeight="false" outlineLevel="0" collapsed="false">
      <c r="A753" s="14" t="s">
        <v>25</v>
      </c>
      <c r="B753" s="14" t="n">
        <v>2025</v>
      </c>
      <c r="C753" s="14" t="n">
        <v>3</v>
      </c>
      <c r="D753" s="14" t="s">
        <v>52</v>
      </c>
      <c r="E753" s="15" t="n">
        <v>268607.68</v>
      </c>
      <c r="F753" s="15" t="n">
        <v>150587.72</v>
      </c>
      <c r="G753" s="16" t="n">
        <f aca="false">ROUND(E753+F753,2)</f>
        <v>419195.4</v>
      </c>
    </row>
    <row r="754" customFormat="false" ht="15" hidden="false" customHeight="false" outlineLevel="0" collapsed="false">
      <c r="A754" s="14" t="s">
        <v>25</v>
      </c>
      <c r="B754" s="14" t="n">
        <v>2025</v>
      </c>
      <c r="C754" s="14" t="n">
        <v>4</v>
      </c>
      <c r="D754" s="14" t="s">
        <v>53</v>
      </c>
      <c r="E754" s="15" t="n">
        <v>274603.94</v>
      </c>
      <c r="F754" s="15" t="n">
        <v>157217.37</v>
      </c>
      <c r="G754" s="16" t="n">
        <f aca="false">ROUND(E754+F754,2)</f>
        <v>431821.31</v>
      </c>
    </row>
    <row r="755" customFormat="false" ht="15" hidden="false" customHeight="false" outlineLevel="0" collapsed="false">
      <c r="A755" s="14" t="s">
        <v>25</v>
      </c>
      <c r="B755" s="14" t="n">
        <v>2025</v>
      </c>
      <c r="C755" s="14" t="n">
        <v>5</v>
      </c>
      <c r="D755" s="14" t="s">
        <v>54</v>
      </c>
      <c r="E755" s="15" t="n">
        <v>289791.58</v>
      </c>
      <c r="F755" s="15" t="n">
        <v>157911.06</v>
      </c>
      <c r="G755" s="16" t="n">
        <f aca="false">ROUND(E755+F755,2)</f>
        <v>447702.64</v>
      </c>
    </row>
    <row r="756" customFormat="false" ht="15" hidden="false" customHeight="false" outlineLevel="0" collapsed="false">
      <c r="A756" s="14" t="s">
        <v>25</v>
      </c>
      <c r="B756" s="14" t="n">
        <v>2025</v>
      </c>
      <c r="C756" s="14" t="n">
        <v>6</v>
      </c>
      <c r="D756" s="14" t="s">
        <v>55</v>
      </c>
      <c r="E756" s="15" t="n">
        <v>278631.47</v>
      </c>
      <c r="F756" s="15" t="n">
        <v>166394.48</v>
      </c>
      <c r="G756" s="16" t="n">
        <f aca="false">ROUND(E756+F756,2)</f>
        <v>445025.95</v>
      </c>
    </row>
    <row r="757" customFormat="false" ht="15" hidden="false" customHeight="false" outlineLevel="0" collapsed="false">
      <c r="A757" s="14" t="s">
        <v>25</v>
      </c>
      <c r="B757" s="14" t="n">
        <v>2025</v>
      </c>
      <c r="C757" s="14" t="n">
        <v>7</v>
      </c>
      <c r="D757" s="14" t="s">
        <v>56</v>
      </c>
      <c r="E757" s="15" t="n">
        <v>270559.76</v>
      </c>
      <c r="F757" s="15" t="n">
        <v>161432.28</v>
      </c>
      <c r="G757" s="16" t="n">
        <f aca="false">ROUND(E757+F757,2)</f>
        <v>431992.04</v>
      </c>
    </row>
    <row r="758" customFormat="false" ht="15" hidden="false" customHeight="false" outlineLevel="0" collapsed="false">
      <c r="A758" s="14" t="s">
        <v>25</v>
      </c>
      <c r="B758" s="14" t="n">
        <v>2025</v>
      </c>
      <c r="C758" s="14" t="n">
        <v>8</v>
      </c>
      <c r="D758" s="14" t="s">
        <v>57</v>
      </c>
      <c r="E758" s="15" t="n">
        <v>250672.33</v>
      </c>
      <c r="F758" s="15" t="n">
        <v>168487.43</v>
      </c>
      <c r="G758" s="16" t="n">
        <f aca="false">ROUND(E758+F758,2)</f>
        <v>419159.76</v>
      </c>
    </row>
    <row r="759" customFormat="false" ht="15" hidden="false" customHeight="false" outlineLevel="0" collapsed="false">
      <c r="A759" s="14" t="s">
        <v>25</v>
      </c>
      <c r="B759" s="14" t="n">
        <v>2025</v>
      </c>
      <c r="C759" s="14" t="n">
        <v>9</v>
      </c>
      <c r="D759" s="14" t="s">
        <v>58</v>
      </c>
      <c r="E759" s="15" t="n">
        <v>249249.1</v>
      </c>
      <c r="F759" s="15" t="n">
        <v>153945.64</v>
      </c>
      <c r="G759" s="16" t="n">
        <f aca="false">ROUND(E759+F759,2)</f>
        <v>403194.74</v>
      </c>
    </row>
    <row r="760" customFormat="false" ht="15" hidden="false" customHeight="false" outlineLevel="0" collapsed="false">
      <c r="A760" s="14" t="s">
        <v>25</v>
      </c>
      <c r="B760" s="14" t="n">
        <v>2025</v>
      </c>
      <c r="C760" s="14" t="n">
        <v>10</v>
      </c>
      <c r="D760" s="14" t="s">
        <v>59</v>
      </c>
      <c r="E760" s="15" t="n">
        <v>262627.18</v>
      </c>
      <c r="F760" s="15" t="n">
        <v>162998.39</v>
      </c>
      <c r="G760" s="16" t="n">
        <f aca="false">ROUND(E760+F760,2)</f>
        <v>425625.57</v>
      </c>
    </row>
    <row r="761" customFormat="false" ht="15" hidden="false" customHeight="false" outlineLevel="0" collapsed="false">
      <c r="A761" s="14" t="s">
        <v>25</v>
      </c>
      <c r="B761" s="14" t="n">
        <v>2025</v>
      </c>
      <c r="C761" s="14" t="n">
        <v>11</v>
      </c>
      <c r="D761" s="14" t="s">
        <v>60</v>
      </c>
      <c r="E761" s="15" t="n">
        <v>237683.65</v>
      </c>
      <c r="F761" s="15" t="n">
        <v>133728.61</v>
      </c>
      <c r="G761" s="16" t="n">
        <f aca="false">ROUND(E761+F761,2)</f>
        <v>371412.26</v>
      </c>
    </row>
    <row r="762" customFormat="false" ht="15" hidden="false" customHeight="false" outlineLevel="0" collapsed="false">
      <c r="A762" s="14" t="s">
        <v>25</v>
      </c>
      <c r="B762" s="14" t="n">
        <v>2025</v>
      </c>
      <c r="C762" s="14" t="n">
        <v>12</v>
      </c>
      <c r="D762" s="14" t="s">
        <v>61</v>
      </c>
      <c r="E762" s="15" t="n">
        <v>271444.08</v>
      </c>
      <c r="F762" s="15" t="n">
        <v>147183.05</v>
      </c>
      <c r="G762" s="16" t="n">
        <f aca="false">ROUND(E762+F762,2)</f>
        <v>418627.13</v>
      </c>
    </row>
    <row r="763" customFormat="false" ht="15" hidden="false" customHeight="false" outlineLevel="0" collapsed="false">
      <c r="A763" s="14" t="s">
        <v>25</v>
      </c>
      <c r="B763" s="14" t="n">
        <v>2026</v>
      </c>
      <c r="C763" s="14" t="n">
        <v>1</v>
      </c>
      <c r="D763" s="14" t="s">
        <v>50</v>
      </c>
      <c r="E763" s="15" t="n">
        <v>273716.19</v>
      </c>
      <c r="F763" s="15" t="n">
        <v>150785.23</v>
      </c>
      <c r="G763" s="16" t="n">
        <f aca="false">ROUND(E763+F763,2)</f>
        <v>424501.42</v>
      </c>
    </row>
    <row r="764" customFormat="false" ht="15" hidden="false" customHeight="false" outlineLevel="0" collapsed="false">
      <c r="A764" s="14" t="s">
        <v>25</v>
      </c>
      <c r="B764" s="14" t="n">
        <v>2026</v>
      </c>
      <c r="C764" s="14" t="n">
        <v>2</v>
      </c>
      <c r="D764" s="14" t="s">
        <v>51</v>
      </c>
      <c r="E764" s="15" t="n">
        <v>261791.56</v>
      </c>
      <c r="F764" s="15" t="n">
        <v>140480.84</v>
      </c>
      <c r="G764" s="16" t="n">
        <f aca="false">ROUND(E764+F764,2)</f>
        <v>402272.4</v>
      </c>
    </row>
    <row r="765" customFormat="false" ht="15" hidden="false" customHeight="false" outlineLevel="0" collapsed="false">
      <c r="A765" s="14" t="s">
        <v>25</v>
      </c>
      <c r="B765" s="14" t="n">
        <v>2026</v>
      </c>
      <c r="C765" s="14" t="n">
        <v>3</v>
      </c>
      <c r="D765" s="14" t="s">
        <v>52</v>
      </c>
      <c r="E765" s="15" t="n">
        <v>309405.5</v>
      </c>
      <c r="F765" s="15" t="n">
        <v>147583.59</v>
      </c>
      <c r="G765" s="16" t="n">
        <f aca="false">ROUND(E765+F765,2)</f>
        <v>456989.09</v>
      </c>
    </row>
    <row r="766" customFormat="false" ht="15" hidden="false" customHeight="false" outlineLevel="0" collapsed="false">
      <c r="A766" s="14" t="s">
        <v>25</v>
      </c>
      <c r="B766" s="14" t="n">
        <v>2026</v>
      </c>
      <c r="C766" s="14" t="n">
        <v>4</v>
      </c>
      <c r="D766" s="14" t="s">
        <v>53</v>
      </c>
      <c r="E766" s="15" t="n">
        <v>316358.88</v>
      </c>
      <c r="F766" s="15" t="n">
        <v>157070.1</v>
      </c>
      <c r="G766" s="16" t="n">
        <f aca="false">ROUND(E766+F766,2)</f>
        <v>473428.98</v>
      </c>
    </row>
    <row r="767" customFormat="false" ht="15" hidden="false" customHeight="false" outlineLevel="0" collapsed="false">
      <c r="A767" s="14" t="s">
        <v>25</v>
      </c>
      <c r="B767" s="14" t="n">
        <v>2026</v>
      </c>
      <c r="C767" s="14" t="n">
        <v>5</v>
      </c>
      <c r="D767" s="14" t="s">
        <v>54</v>
      </c>
      <c r="E767" s="15" t="n">
        <v>298335.08</v>
      </c>
      <c r="F767" s="15" t="n">
        <v>152030.35</v>
      </c>
      <c r="G767" s="16" t="n">
        <f aca="false">ROUND(E767+F767,2)</f>
        <v>450365.43</v>
      </c>
    </row>
    <row r="768" customFormat="false" ht="15" hidden="false" customHeight="false" outlineLevel="0" collapsed="false">
      <c r="A768" s="14" t="s">
        <v>25</v>
      </c>
      <c r="B768" s="14" t="n">
        <v>2026</v>
      </c>
      <c r="C768" s="14" t="n">
        <v>6</v>
      </c>
      <c r="D768" s="14" t="s">
        <v>55</v>
      </c>
      <c r="E768" s="15" t="n">
        <v>342893.62</v>
      </c>
      <c r="F768" s="15" t="n">
        <v>159820.83</v>
      </c>
      <c r="G768" s="16" t="n">
        <f aca="false">ROUND(E768+F768,2)</f>
        <v>502714.45</v>
      </c>
    </row>
    <row r="769" customFormat="false" ht="15" hidden="false" customHeight="false" outlineLevel="0" collapsed="false">
      <c r="A769" s="14" t="s">
        <v>25</v>
      </c>
      <c r="B769" s="14" t="n">
        <v>2026</v>
      </c>
      <c r="C769" s="14" t="n">
        <v>7</v>
      </c>
      <c r="D769" s="14" t="s">
        <v>56</v>
      </c>
      <c r="E769" s="15" t="n">
        <v>360403.34</v>
      </c>
      <c r="F769" s="15" t="n">
        <v>181696.14</v>
      </c>
      <c r="G769" s="16" t="n">
        <f aca="false">ROUND(E769+F769,2)</f>
        <v>542099.48</v>
      </c>
    </row>
    <row r="770" customFormat="false" ht="15" hidden="false" customHeight="false" outlineLevel="0" collapsed="false">
      <c r="A770" s="14" t="s">
        <v>40</v>
      </c>
      <c r="B770" s="14" t="n">
        <v>2022</v>
      </c>
      <c r="C770" s="14" t="n">
        <v>1</v>
      </c>
      <c r="D770" s="14" t="s">
        <v>50</v>
      </c>
      <c r="E770" s="15" t="n">
        <v>0</v>
      </c>
      <c r="F770" s="15" t="n">
        <v>0</v>
      </c>
      <c r="G770" s="16" t="n">
        <f aca="false">ROUND(E770+F770,2)</f>
        <v>0</v>
      </c>
    </row>
    <row r="771" customFormat="false" ht="15" hidden="false" customHeight="false" outlineLevel="0" collapsed="false">
      <c r="A771" s="14" t="s">
        <v>40</v>
      </c>
      <c r="B771" s="14" t="n">
        <v>2022</v>
      </c>
      <c r="C771" s="14" t="n">
        <v>2</v>
      </c>
      <c r="D771" s="14" t="s">
        <v>51</v>
      </c>
      <c r="E771" s="15" t="n">
        <v>0</v>
      </c>
      <c r="F771" s="15" t="n">
        <v>0</v>
      </c>
      <c r="G771" s="16" t="n">
        <f aca="false">ROUND(E771+F771,2)</f>
        <v>0</v>
      </c>
    </row>
    <row r="772" customFormat="false" ht="15" hidden="false" customHeight="false" outlineLevel="0" collapsed="false">
      <c r="A772" s="14" t="s">
        <v>40</v>
      </c>
      <c r="B772" s="14" t="n">
        <v>2022</v>
      </c>
      <c r="C772" s="14" t="n">
        <v>3</v>
      </c>
      <c r="D772" s="14" t="s">
        <v>52</v>
      </c>
      <c r="E772" s="15" t="n">
        <v>13550.14</v>
      </c>
      <c r="F772" s="15" t="n">
        <v>4039.3</v>
      </c>
      <c r="G772" s="16" t="n">
        <f aca="false">ROUND(E772+F772,2)</f>
        <v>17589.44</v>
      </c>
    </row>
    <row r="773" customFormat="false" ht="15" hidden="false" customHeight="false" outlineLevel="0" collapsed="false">
      <c r="A773" s="14" t="s">
        <v>40</v>
      </c>
      <c r="B773" s="14" t="n">
        <v>2022</v>
      </c>
      <c r="C773" s="14" t="n">
        <v>4</v>
      </c>
      <c r="D773" s="14" t="s">
        <v>53</v>
      </c>
      <c r="E773" s="15" t="n">
        <v>47118.33</v>
      </c>
      <c r="F773" s="15" t="n">
        <v>20180.06</v>
      </c>
      <c r="G773" s="16" t="n">
        <f aca="false">ROUND(E773+F773,2)</f>
        <v>67298.39</v>
      </c>
    </row>
    <row r="774" customFormat="false" ht="15" hidden="false" customHeight="false" outlineLevel="0" collapsed="false">
      <c r="A774" s="14" t="s">
        <v>40</v>
      </c>
      <c r="B774" s="14" t="n">
        <v>2022</v>
      </c>
      <c r="C774" s="14" t="n">
        <v>5</v>
      </c>
      <c r="D774" s="14" t="s">
        <v>54</v>
      </c>
      <c r="E774" s="15" t="n">
        <v>32877.29</v>
      </c>
      <c r="F774" s="15" t="n">
        <v>21516.8</v>
      </c>
      <c r="G774" s="16" t="n">
        <f aca="false">ROUND(E774+F774,2)</f>
        <v>54394.09</v>
      </c>
    </row>
    <row r="775" customFormat="false" ht="15" hidden="false" customHeight="false" outlineLevel="0" collapsed="false">
      <c r="A775" s="14" t="s">
        <v>40</v>
      </c>
      <c r="B775" s="14" t="n">
        <v>2022</v>
      </c>
      <c r="C775" s="14" t="n">
        <v>6</v>
      </c>
      <c r="D775" s="14" t="s">
        <v>55</v>
      </c>
      <c r="E775" s="15" t="n">
        <v>30579.6</v>
      </c>
      <c r="F775" s="15" t="n">
        <v>17485.81</v>
      </c>
      <c r="G775" s="16" t="n">
        <f aca="false">ROUND(E775+F775,2)</f>
        <v>48065.41</v>
      </c>
    </row>
    <row r="776" customFormat="false" ht="15" hidden="false" customHeight="false" outlineLevel="0" collapsed="false">
      <c r="A776" s="14" t="s">
        <v>40</v>
      </c>
      <c r="B776" s="14" t="n">
        <v>2022</v>
      </c>
      <c r="C776" s="14" t="n">
        <v>7</v>
      </c>
      <c r="D776" s="14" t="s">
        <v>56</v>
      </c>
      <c r="E776" s="15" t="n">
        <v>28404.59</v>
      </c>
      <c r="F776" s="15" t="n">
        <v>17570.68</v>
      </c>
      <c r="G776" s="16" t="n">
        <f aca="false">ROUND(E776+F776,2)</f>
        <v>45975.27</v>
      </c>
    </row>
    <row r="777" customFormat="false" ht="15" hidden="false" customHeight="false" outlineLevel="0" collapsed="false">
      <c r="A777" s="14" t="s">
        <v>40</v>
      </c>
      <c r="B777" s="14" t="n">
        <v>2022</v>
      </c>
      <c r="C777" s="14" t="n">
        <v>8</v>
      </c>
      <c r="D777" s="14" t="s">
        <v>57</v>
      </c>
      <c r="E777" s="15" t="n">
        <v>37056.59</v>
      </c>
      <c r="F777" s="15" t="n">
        <v>27367.29</v>
      </c>
      <c r="G777" s="16" t="n">
        <f aca="false">ROUND(E777+F777,2)</f>
        <v>64423.88</v>
      </c>
    </row>
    <row r="778" customFormat="false" ht="15" hidden="false" customHeight="false" outlineLevel="0" collapsed="false">
      <c r="A778" s="14" t="s">
        <v>40</v>
      </c>
      <c r="B778" s="14" t="n">
        <v>2022</v>
      </c>
      <c r="C778" s="14" t="n">
        <v>9</v>
      </c>
      <c r="D778" s="14" t="s">
        <v>58</v>
      </c>
      <c r="E778" s="15" t="n">
        <v>45177.47</v>
      </c>
      <c r="F778" s="15" t="n">
        <v>24885.77</v>
      </c>
      <c r="G778" s="16" t="n">
        <f aca="false">ROUND(E778+F778,2)</f>
        <v>70063.24</v>
      </c>
    </row>
    <row r="779" customFormat="false" ht="15" hidden="false" customHeight="false" outlineLevel="0" collapsed="false">
      <c r="A779" s="14" t="s">
        <v>40</v>
      </c>
      <c r="B779" s="14" t="n">
        <v>2022</v>
      </c>
      <c r="C779" s="14" t="n">
        <v>10</v>
      </c>
      <c r="D779" s="14" t="s">
        <v>59</v>
      </c>
      <c r="E779" s="15" t="n">
        <v>49308.11</v>
      </c>
      <c r="F779" s="15" t="n">
        <v>30140.72</v>
      </c>
      <c r="G779" s="16" t="n">
        <f aca="false">ROUND(E779+F779,2)</f>
        <v>79448.83</v>
      </c>
    </row>
    <row r="780" customFormat="false" ht="15" hidden="false" customHeight="false" outlineLevel="0" collapsed="false">
      <c r="A780" s="14" t="s">
        <v>40</v>
      </c>
      <c r="B780" s="14" t="n">
        <v>2022</v>
      </c>
      <c r="C780" s="14" t="n">
        <v>11</v>
      </c>
      <c r="D780" s="14" t="s">
        <v>60</v>
      </c>
      <c r="E780" s="15" t="n">
        <v>34248.39</v>
      </c>
      <c r="F780" s="15" t="n">
        <v>23747.14</v>
      </c>
      <c r="G780" s="16" t="n">
        <f aca="false">ROUND(E780+F780,2)</f>
        <v>57995.53</v>
      </c>
    </row>
    <row r="781" customFormat="false" ht="15" hidden="false" customHeight="false" outlineLevel="0" collapsed="false">
      <c r="A781" s="14" t="s">
        <v>40</v>
      </c>
      <c r="B781" s="14" t="n">
        <v>2022</v>
      </c>
      <c r="C781" s="14" t="n">
        <v>12</v>
      </c>
      <c r="D781" s="14" t="s">
        <v>61</v>
      </c>
      <c r="E781" s="15" t="n">
        <v>34513.93</v>
      </c>
      <c r="F781" s="15" t="n">
        <v>21953.31</v>
      </c>
      <c r="G781" s="16" t="n">
        <f aca="false">ROUND(E781+F781,2)</f>
        <v>56467.24</v>
      </c>
    </row>
    <row r="782" customFormat="false" ht="15" hidden="false" customHeight="false" outlineLevel="0" collapsed="false">
      <c r="A782" s="14" t="s">
        <v>40</v>
      </c>
      <c r="B782" s="14" t="n">
        <v>2023</v>
      </c>
      <c r="C782" s="14" t="n">
        <v>1</v>
      </c>
      <c r="D782" s="14" t="s">
        <v>50</v>
      </c>
      <c r="E782" s="15" t="n">
        <v>22116.6</v>
      </c>
      <c r="F782" s="15" t="n">
        <v>20732.59</v>
      </c>
      <c r="G782" s="16" t="n">
        <f aca="false">ROUND(E782+F782,2)</f>
        <v>42849.19</v>
      </c>
    </row>
    <row r="783" customFormat="false" ht="15" hidden="false" customHeight="false" outlineLevel="0" collapsed="false">
      <c r="A783" s="14" t="s">
        <v>40</v>
      </c>
      <c r="B783" s="14" t="n">
        <v>2023</v>
      </c>
      <c r="C783" s="14" t="n">
        <v>2</v>
      </c>
      <c r="D783" s="14" t="s">
        <v>51</v>
      </c>
      <c r="E783" s="15" t="n">
        <v>28327.72</v>
      </c>
      <c r="F783" s="15" t="n">
        <v>28885.93</v>
      </c>
      <c r="G783" s="16" t="n">
        <f aca="false">ROUND(E783+F783,2)</f>
        <v>57213.65</v>
      </c>
    </row>
    <row r="784" customFormat="false" ht="15" hidden="false" customHeight="false" outlineLevel="0" collapsed="false">
      <c r="A784" s="14" t="s">
        <v>40</v>
      </c>
      <c r="B784" s="14" t="n">
        <v>2023</v>
      </c>
      <c r="C784" s="14" t="n">
        <v>3</v>
      </c>
      <c r="D784" s="14" t="s">
        <v>52</v>
      </c>
      <c r="E784" s="15" t="n">
        <v>29719.31</v>
      </c>
      <c r="F784" s="15" t="n">
        <v>29951.35</v>
      </c>
      <c r="G784" s="16" t="n">
        <f aca="false">ROUND(E784+F784,2)</f>
        <v>59670.66</v>
      </c>
    </row>
    <row r="785" customFormat="false" ht="15" hidden="false" customHeight="false" outlineLevel="0" collapsed="false">
      <c r="A785" s="14" t="s">
        <v>40</v>
      </c>
      <c r="B785" s="14" t="n">
        <v>2023</v>
      </c>
      <c r="C785" s="14" t="n">
        <v>4</v>
      </c>
      <c r="D785" s="14" t="s">
        <v>53</v>
      </c>
      <c r="E785" s="15" t="n">
        <v>31660.07</v>
      </c>
      <c r="F785" s="15" t="n">
        <v>26197.31</v>
      </c>
      <c r="G785" s="16" t="n">
        <f aca="false">ROUND(E785+F785,2)</f>
        <v>57857.38</v>
      </c>
    </row>
    <row r="786" customFormat="false" ht="15" hidden="false" customHeight="false" outlineLevel="0" collapsed="false">
      <c r="A786" s="14" t="s">
        <v>40</v>
      </c>
      <c r="B786" s="14" t="n">
        <v>2023</v>
      </c>
      <c r="C786" s="14" t="n">
        <v>5</v>
      </c>
      <c r="D786" s="14" t="s">
        <v>54</v>
      </c>
      <c r="E786" s="15" t="n">
        <v>33782.51</v>
      </c>
      <c r="F786" s="15" t="n">
        <v>34994.76</v>
      </c>
      <c r="G786" s="16" t="n">
        <f aca="false">ROUND(E786+F786,2)</f>
        <v>68777.27</v>
      </c>
    </row>
    <row r="787" customFormat="false" ht="15" hidden="false" customHeight="false" outlineLevel="0" collapsed="false">
      <c r="A787" s="14" t="s">
        <v>40</v>
      </c>
      <c r="B787" s="14" t="n">
        <v>2023</v>
      </c>
      <c r="C787" s="14" t="n">
        <v>6</v>
      </c>
      <c r="D787" s="14" t="s">
        <v>55</v>
      </c>
      <c r="E787" s="15" t="n">
        <v>37059.92</v>
      </c>
      <c r="F787" s="15" t="n">
        <v>30614.84</v>
      </c>
      <c r="G787" s="16" t="n">
        <f aca="false">ROUND(E787+F787,2)</f>
        <v>67674.76</v>
      </c>
    </row>
    <row r="788" customFormat="false" ht="15" hidden="false" customHeight="false" outlineLevel="0" collapsed="false">
      <c r="A788" s="14" t="s">
        <v>40</v>
      </c>
      <c r="B788" s="14" t="n">
        <v>2023</v>
      </c>
      <c r="C788" s="14" t="n">
        <v>7</v>
      </c>
      <c r="D788" s="14" t="s">
        <v>56</v>
      </c>
      <c r="E788" s="15" t="n">
        <v>36897.74</v>
      </c>
      <c r="F788" s="15" t="n">
        <v>29243.18</v>
      </c>
      <c r="G788" s="16" t="n">
        <f aca="false">ROUND(E788+F788,2)</f>
        <v>66140.92</v>
      </c>
    </row>
    <row r="789" customFormat="false" ht="15" hidden="false" customHeight="false" outlineLevel="0" collapsed="false">
      <c r="A789" s="14" t="s">
        <v>40</v>
      </c>
      <c r="B789" s="14" t="n">
        <v>2023</v>
      </c>
      <c r="C789" s="14" t="n">
        <v>8</v>
      </c>
      <c r="D789" s="14" t="s">
        <v>57</v>
      </c>
      <c r="E789" s="15" t="n">
        <v>63463.38</v>
      </c>
      <c r="F789" s="15" t="n">
        <v>53939.85</v>
      </c>
      <c r="G789" s="16" t="n">
        <f aca="false">ROUND(E789+F789,2)</f>
        <v>117403.23</v>
      </c>
    </row>
    <row r="790" customFormat="false" ht="15" hidden="false" customHeight="false" outlineLevel="0" collapsed="false">
      <c r="A790" s="14" t="s">
        <v>40</v>
      </c>
      <c r="B790" s="14" t="n">
        <v>2023</v>
      </c>
      <c r="C790" s="14" t="n">
        <v>9</v>
      </c>
      <c r="D790" s="14" t="s">
        <v>58</v>
      </c>
      <c r="E790" s="15" t="n">
        <v>55379.34</v>
      </c>
      <c r="F790" s="15" t="n">
        <v>43187.93</v>
      </c>
      <c r="G790" s="16" t="n">
        <f aca="false">ROUND(E790+F790,2)</f>
        <v>98567.27</v>
      </c>
    </row>
    <row r="791" customFormat="false" ht="15" hidden="false" customHeight="false" outlineLevel="0" collapsed="false">
      <c r="A791" s="14" t="s">
        <v>40</v>
      </c>
      <c r="B791" s="14" t="n">
        <v>2023</v>
      </c>
      <c r="C791" s="14" t="n">
        <v>10</v>
      </c>
      <c r="D791" s="14" t="s">
        <v>59</v>
      </c>
      <c r="E791" s="15" t="n">
        <v>63735.04</v>
      </c>
      <c r="F791" s="15" t="n">
        <v>45539.66</v>
      </c>
      <c r="G791" s="16" t="n">
        <f aca="false">ROUND(E791+F791,2)</f>
        <v>109274.7</v>
      </c>
    </row>
    <row r="792" customFormat="false" ht="15" hidden="false" customHeight="false" outlineLevel="0" collapsed="false">
      <c r="A792" s="14" t="s">
        <v>40</v>
      </c>
      <c r="B792" s="14" t="n">
        <v>2023</v>
      </c>
      <c r="C792" s="14" t="n">
        <v>11</v>
      </c>
      <c r="D792" s="14" t="s">
        <v>60</v>
      </c>
      <c r="E792" s="15" t="n">
        <v>58737.93</v>
      </c>
      <c r="F792" s="15" t="n">
        <v>38672.81</v>
      </c>
      <c r="G792" s="16" t="n">
        <f aca="false">ROUND(E792+F792,2)</f>
        <v>97410.74</v>
      </c>
    </row>
    <row r="793" customFormat="false" ht="15" hidden="false" customHeight="false" outlineLevel="0" collapsed="false">
      <c r="A793" s="14" t="s">
        <v>40</v>
      </c>
      <c r="B793" s="14" t="n">
        <v>2023</v>
      </c>
      <c r="C793" s="14" t="n">
        <v>12</v>
      </c>
      <c r="D793" s="14" t="s">
        <v>61</v>
      </c>
      <c r="E793" s="15" t="n">
        <v>72615.72</v>
      </c>
      <c r="F793" s="15" t="n">
        <v>49449.82</v>
      </c>
      <c r="G793" s="16" t="n">
        <f aca="false">ROUND(E793+F793,2)</f>
        <v>122065.54</v>
      </c>
    </row>
    <row r="794" customFormat="false" ht="15" hidden="false" customHeight="false" outlineLevel="0" collapsed="false">
      <c r="A794" s="14" t="s">
        <v>40</v>
      </c>
      <c r="B794" s="14" t="n">
        <v>2024</v>
      </c>
      <c r="C794" s="14" t="n">
        <v>1</v>
      </c>
      <c r="D794" s="14" t="s">
        <v>50</v>
      </c>
      <c r="E794" s="15" t="n">
        <v>58147.1</v>
      </c>
      <c r="F794" s="15" t="n">
        <v>39207.59</v>
      </c>
      <c r="G794" s="16" t="n">
        <f aca="false">ROUND(E794+F794,2)</f>
        <v>97354.69</v>
      </c>
    </row>
    <row r="795" customFormat="false" ht="15" hidden="false" customHeight="false" outlineLevel="0" collapsed="false">
      <c r="A795" s="14" t="s">
        <v>40</v>
      </c>
      <c r="B795" s="14" t="n">
        <v>2024</v>
      </c>
      <c r="C795" s="14" t="n">
        <v>2</v>
      </c>
      <c r="D795" s="14" t="s">
        <v>51</v>
      </c>
      <c r="E795" s="15" t="n">
        <v>44620.97</v>
      </c>
      <c r="F795" s="15" t="n">
        <v>34176.8</v>
      </c>
      <c r="G795" s="16" t="n">
        <f aca="false">ROUND(E795+F795,2)</f>
        <v>78797.77</v>
      </c>
    </row>
    <row r="796" customFormat="false" ht="15" hidden="false" customHeight="false" outlineLevel="0" collapsed="false">
      <c r="A796" s="14" t="s">
        <v>40</v>
      </c>
      <c r="B796" s="14" t="n">
        <v>2024</v>
      </c>
      <c r="C796" s="14" t="n">
        <v>3</v>
      </c>
      <c r="D796" s="14" t="s">
        <v>52</v>
      </c>
      <c r="E796" s="15" t="n">
        <v>52576.63</v>
      </c>
      <c r="F796" s="15" t="n">
        <v>48973.12</v>
      </c>
      <c r="G796" s="16" t="n">
        <f aca="false">ROUND(E796+F796,2)</f>
        <v>101549.75</v>
      </c>
    </row>
    <row r="797" customFormat="false" ht="15" hidden="false" customHeight="false" outlineLevel="0" collapsed="false">
      <c r="A797" s="14" t="s">
        <v>40</v>
      </c>
      <c r="B797" s="14" t="n">
        <v>2024</v>
      </c>
      <c r="C797" s="14" t="n">
        <v>4</v>
      </c>
      <c r="D797" s="14" t="s">
        <v>53</v>
      </c>
      <c r="E797" s="15" t="n">
        <v>69004.82</v>
      </c>
      <c r="F797" s="15" t="n">
        <v>61274.55</v>
      </c>
      <c r="G797" s="16" t="n">
        <f aca="false">ROUND(E797+F797,2)</f>
        <v>130279.37</v>
      </c>
    </row>
    <row r="798" customFormat="false" ht="15" hidden="false" customHeight="false" outlineLevel="0" collapsed="false">
      <c r="A798" s="14" t="s">
        <v>40</v>
      </c>
      <c r="B798" s="14" t="n">
        <v>2024</v>
      </c>
      <c r="C798" s="14" t="n">
        <v>5</v>
      </c>
      <c r="D798" s="14" t="s">
        <v>54</v>
      </c>
      <c r="E798" s="15" t="n">
        <v>58494.23</v>
      </c>
      <c r="F798" s="15" t="n">
        <v>36909.97</v>
      </c>
      <c r="G798" s="16" t="n">
        <f aca="false">ROUND(E798+F798,2)</f>
        <v>95404.2</v>
      </c>
    </row>
    <row r="799" customFormat="false" ht="15" hidden="false" customHeight="false" outlineLevel="0" collapsed="false">
      <c r="A799" s="14" t="s">
        <v>40</v>
      </c>
      <c r="B799" s="14" t="n">
        <v>2024</v>
      </c>
      <c r="C799" s="14" t="n">
        <v>6</v>
      </c>
      <c r="D799" s="14" t="s">
        <v>55</v>
      </c>
      <c r="E799" s="15" t="n">
        <v>25482.77</v>
      </c>
      <c r="F799" s="15" t="n">
        <v>14537.85</v>
      </c>
      <c r="G799" s="16" t="n">
        <f aca="false">ROUND(E799+F799,2)</f>
        <v>40020.62</v>
      </c>
    </row>
    <row r="800" customFormat="false" ht="15" hidden="false" customHeight="false" outlineLevel="0" collapsed="false">
      <c r="A800" s="14" t="s">
        <v>40</v>
      </c>
      <c r="B800" s="14" t="n">
        <v>2024</v>
      </c>
      <c r="C800" s="14" t="n">
        <v>7</v>
      </c>
      <c r="D800" s="14" t="s">
        <v>56</v>
      </c>
      <c r="E800" s="15" t="n">
        <v>55774.72</v>
      </c>
      <c r="F800" s="15" t="n">
        <v>60072.98</v>
      </c>
      <c r="G800" s="16" t="n">
        <f aca="false">ROUND(E800+F800,2)</f>
        <v>115847.7</v>
      </c>
    </row>
    <row r="801" customFormat="false" ht="15" hidden="false" customHeight="false" outlineLevel="0" collapsed="false">
      <c r="A801" s="14" t="s">
        <v>40</v>
      </c>
      <c r="B801" s="14" t="n">
        <v>2024</v>
      </c>
      <c r="C801" s="14" t="n">
        <v>8</v>
      </c>
      <c r="D801" s="14" t="s">
        <v>57</v>
      </c>
      <c r="E801" s="15" t="n">
        <v>62204.41</v>
      </c>
      <c r="F801" s="15" t="n">
        <v>51794.78</v>
      </c>
      <c r="G801" s="16" t="n">
        <f aca="false">ROUND(E801+F801,2)</f>
        <v>113999.19</v>
      </c>
    </row>
    <row r="802" customFormat="false" ht="15" hidden="false" customHeight="false" outlineLevel="0" collapsed="false">
      <c r="A802" s="14" t="s">
        <v>40</v>
      </c>
      <c r="B802" s="14" t="n">
        <v>2024</v>
      </c>
      <c r="C802" s="14" t="n">
        <v>9</v>
      </c>
      <c r="D802" s="14" t="s">
        <v>58</v>
      </c>
      <c r="E802" s="15" t="n">
        <v>58023.61</v>
      </c>
      <c r="F802" s="15" t="n">
        <v>34877.63</v>
      </c>
      <c r="G802" s="16" t="n">
        <f aca="false">ROUND(E802+F802,2)</f>
        <v>92901.24</v>
      </c>
    </row>
    <row r="803" customFormat="false" ht="15" hidden="false" customHeight="false" outlineLevel="0" collapsed="false">
      <c r="A803" s="14" t="s">
        <v>40</v>
      </c>
      <c r="B803" s="14" t="n">
        <v>2024</v>
      </c>
      <c r="C803" s="14" t="n">
        <v>10</v>
      </c>
      <c r="D803" s="14" t="s">
        <v>59</v>
      </c>
      <c r="E803" s="15" t="n">
        <v>61579.92</v>
      </c>
      <c r="F803" s="15" t="n">
        <v>45498.01</v>
      </c>
      <c r="G803" s="16" t="n">
        <f aca="false">ROUND(E803+F803,2)</f>
        <v>107077.93</v>
      </c>
    </row>
    <row r="804" customFormat="false" ht="15" hidden="false" customHeight="false" outlineLevel="0" collapsed="false">
      <c r="A804" s="14" t="s">
        <v>40</v>
      </c>
      <c r="B804" s="14" t="n">
        <v>2024</v>
      </c>
      <c r="C804" s="14" t="n">
        <v>11</v>
      </c>
      <c r="D804" s="14" t="s">
        <v>60</v>
      </c>
      <c r="E804" s="15" t="n">
        <v>60944.05</v>
      </c>
      <c r="F804" s="15" t="n">
        <v>49917.74</v>
      </c>
      <c r="G804" s="16" t="n">
        <f aca="false">ROUND(E804+F804,2)</f>
        <v>110861.79</v>
      </c>
    </row>
    <row r="805" customFormat="false" ht="15" hidden="false" customHeight="false" outlineLevel="0" collapsed="false">
      <c r="A805" s="14" t="s">
        <v>40</v>
      </c>
      <c r="B805" s="14" t="n">
        <v>2024</v>
      </c>
      <c r="C805" s="14" t="n">
        <v>12</v>
      </c>
      <c r="D805" s="14" t="s">
        <v>61</v>
      </c>
      <c r="E805" s="15" t="n">
        <v>60685.73</v>
      </c>
      <c r="F805" s="15" t="n">
        <v>42681.58</v>
      </c>
      <c r="G805" s="16" t="n">
        <f aca="false">ROUND(E805+F805,2)</f>
        <v>103367.31</v>
      </c>
    </row>
    <row r="806" customFormat="false" ht="15" hidden="false" customHeight="false" outlineLevel="0" collapsed="false">
      <c r="A806" s="14" t="s">
        <v>40</v>
      </c>
      <c r="B806" s="14" t="n">
        <v>2025</v>
      </c>
      <c r="C806" s="14" t="n">
        <v>1</v>
      </c>
      <c r="D806" s="14" t="s">
        <v>50</v>
      </c>
      <c r="E806" s="15" t="n">
        <v>69798.23</v>
      </c>
      <c r="F806" s="15" t="n">
        <v>66910.34</v>
      </c>
      <c r="G806" s="16" t="n">
        <f aca="false">ROUND(E806+F806,2)</f>
        <v>136708.57</v>
      </c>
    </row>
    <row r="807" customFormat="false" ht="15" hidden="false" customHeight="false" outlineLevel="0" collapsed="false">
      <c r="A807" s="14" t="s">
        <v>40</v>
      </c>
      <c r="B807" s="14" t="n">
        <v>2025</v>
      </c>
      <c r="C807" s="14" t="n">
        <v>2</v>
      </c>
      <c r="D807" s="14" t="s">
        <v>51</v>
      </c>
      <c r="E807" s="15" t="n">
        <v>71904.48</v>
      </c>
      <c r="F807" s="15" t="n">
        <v>40919.8</v>
      </c>
      <c r="G807" s="16" t="n">
        <f aca="false">ROUND(E807+F807,2)</f>
        <v>112824.28</v>
      </c>
    </row>
    <row r="808" customFormat="false" ht="15" hidden="false" customHeight="false" outlineLevel="0" collapsed="false">
      <c r="A808" s="14" t="s">
        <v>40</v>
      </c>
      <c r="B808" s="14" t="n">
        <v>2025</v>
      </c>
      <c r="C808" s="14" t="n">
        <v>3</v>
      </c>
      <c r="D808" s="14" t="s">
        <v>52</v>
      </c>
      <c r="E808" s="15" t="n">
        <v>59129.22</v>
      </c>
      <c r="F808" s="15" t="n">
        <v>52506.99</v>
      </c>
      <c r="G808" s="16" t="n">
        <f aca="false">ROUND(E808+F808,2)</f>
        <v>111636.21</v>
      </c>
    </row>
    <row r="809" customFormat="false" ht="15" hidden="false" customHeight="false" outlineLevel="0" collapsed="false">
      <c r="A809" s="14" t="s">
        <v>40</v>
      </c>
      <c r="B809" s="14" t="n">
        <v>2025</v>
      </c>
      <c r="C809" s="14" t="n">
        <v>4</v>
      </c>
      <c r="D809" s="14" t="s">
        <v>53</v>
      </c>
      <c r="E809" s="15" t="n">
        <v>91421.93</v>
      </c>
      <c r="F809" s="15" t="n">
        <v>47135.07</v>
      </c>
      <c r="G809" s="16" t="n">
        <f aca="false">ROUND(E809+F809,2)</f>
        <v>138557</v>
      </c>
    </row>
    <row r="810" customFormat="false" ht="15" hidden="false" customHeight="false" outlineLevel="0" collapsed="false">
      <c r="A810" s="14" t="s">
        <v>40</v>
      </c>
      <c r="B810" s="14" t="n">
        <v>2025</v>
      </c>
      <c r="C810" s="14" t="n">
        <v>5</v>
      </c>
      <c r="D810" s="14" t="s">
        <v>54</v>
      </c>
      <c r="E810" s="15" t="n">
        <v>64530.06</v>
      </c>
      <c r="F810" s="15" t="n">
        <v>37776.03</v>
      </c>
      <c r="G810" s="16" t="n">
        <f aca="false">ROUND(E810+F810,2)</f>
        <v>102306.09</v>
      </c>
    </row>
    <row r="811" customFormat="false" ht="15" hidden="false" customHeight="false" outlineLevel="0" collapsed="false">
      <c r="A811" s="14" t="s">
        <v>40</v>
      </c>
      <c r="B811" s="14" t="n">
        <v>2025</v>
      </c>
      <c r="C811" s="14" t="n">
        <v>6</v>
      </c>
      <c r="D811" s="14" t="s">
        <v>55</v>
      </c>
      <c r="E811" s="15" t="n">
        <v>59551.19</v>
      </c>
      <c r="F811" s="15" t="n">
        <v>50658.4</v>
      </c>
      <c r="G811" s="16" t="n">
        <f aca="false">ROUND(E811+F811,2)</f>
        <v>110209.59</v>
      </c>
    </row>
    <row r="812" customFormat="false" ht="15" hidden="false" customHeight="false" outlineLevel="0" collapsed="false">
      <c r="A812" s="14" t="s">
        <v>40</v>
      </c>
      <c r="B812" s="14" t="n">
        <v>2025</v>
      </c>
      <c r="C812" s="14" t="n">
        <v>7</v>
      </c>
      <c r="D812" s="14" t="s">
        <v>56</v>
      </c>
      <c r="E812" s="15" t="n">
        <v>95630.58</v>
      </c>
      <c r="F812" s="15" t="n">
        <v>71909.09</v>
      </c>
      <c r="G812" s="16" t="n">
        <f aca="false">ROUND(E812+F812,2)</f>
        <v>167539.67</v>
      </c>
    </row>
    <row r="813" customFormat="false" ht="15" hidden="false" customHeight="false" outlineLevel="0" collapsed="false">
      <c r="A813" s="14" t="s">
        <v>40</v>
      </c>
      <c r="B813" s="14" t="n">
        <v>2025</v>
      </c>
      <c r="C813" s="14" t="n">
        <v>8</v>
      </c>
      <c r="D813" s="14" t="s">
        <v>57</v>
      </c>
      <c r="E813" s="15" t="n">
        <v>70250.86</v>
      </c>
      <c r="F813" s="15" t="n">
        <v>60632.61</v>
      </c>
      <c r="G813" s="16" t="n">
        <f aca="false">ROUND(E813+F813,2)</f>
        <v>130883.47</v>
      </c>
    </row>
    <row r="814" customFormat="false" ht="15" hidden="false" customHeight="false" outlineLevel="0" collapsed="false">
      <c r="A814" s="14" t="s">
        <v>40</v>
      </c>
      <c r="B814" s="14" t="n">
        <v>2025</v>
      </c>
      <c r="C814" s="14" t="n">
        <v>9</v>
      </c>
      <c r="D814" s="14" t="s">
        <v>58</v>
      </c>
      <c r="E814" s="15" t="n">
        <v>65453.38</v>
      </c>
      <c r="F814" s="15" t="n">
        <v>54663.45</v>
      </c>
      <c r="G814" s="16" t="n">
        <f aca="false">ROUND(E814+F814,2)</f>
        <v>120116.83</v>
      </c>
    </row>
    <row r="815" customFormat="false" ht="15" hidden="false" customHeight="false" outlineLevel="0" collapsed="false">
      <c r="A815" s="14" t="s">
        <v>40</v>
      </c>
      <c r="B815" s="14" t="n">
        <v>2025</v>
      </c>
      <c r="C815" s="14" t="n">
        <v>10</v>
      </c>
      <c r="D815" s="14" t="s">
        <v>59</v>
      </c>
      <c r="E815" s="15" t="n">
        <v>79107.82</v>
      </c>
      <c r="F815" s="15" t="n">
        <v>65609.83</v>
      </c>
      <c r="G815" s="16" t="n">
        <f aca="false">ROUND(E815+F815,2)</f>
        <v>144717.65</v>
      </c>
    </row>
    <row r="816" customFormat="false" ht="15" hidden="false" customHeight="false" outlineLevel="0" collapsed="false">
      <c r="A816" s="14" t="s">
        <v>40</v>
      </c>
      <c r="B816" s="14" t="n">
        <v>2025</v>
      </c>
      <c r="C816" s="14" t="n">
        <v>11</v>
      </c>
      <c r="D816" s="14" t="s">
        <v>60</v>
      </c>
      <c r="E816" s="15" t="n">
        <v>64746.39</v>
      </c>
      <c r="F816" s="15" t="n">
        <v>46286.63</v>
      </c>
      <c r="G816" s="16" t="n">
        <f aca="false">ROUND(E816+F816,2)</f>
        <v>111033.02</v>
      </c>
    </row>
    <row r="817" customFormat="false" ht="15" hidden="false" customHeight="false" outlineLevel="0" collapsed="false">
      <c r="A817" s="14" t="s">
        <v>40</v>
      </c>
      <c r="B817" s="14" t="n">
        <v>2025</v>
      </c>
      <c r="C817" s="14" t="n">
        <v>12</v>
      </c>
      <c r="D817" s="14" t="s">
        <v>61</v>
      </c>
      <c r="E817" s="15" t="n">
        <v>94585.88</v>
      </c>
      <c r="F817" s="15" t="n">
        <v>49141.18</v>
      </c>
      <c r="G817" s="16" t="n">
        <f aca="false">ROUND(E817+F817,2)</f>
        <v>143727.06</v>
      </c>
    </row>
    <row r="818" customFormat="false" ht="15" hidden="false" customHeight="false" outlineLevel="0" collapsed="false">
      <c r="A818" s="14" t="s">
        <v>40</v>
      </c>
      <c r="B818" s="14" t="n">
        <v>2026</v>
      </c>
      <c r="C818" s="14" t="n">
        <v>1</v>
      </c>
      <c r="D818" s="14" t="s">
        <v>50</v>
      </c>
      <c r="E818" s="15" t="n">
        <v>69682.41</v>
      </c>
      <c r="F818" s="15" t="n">
        <v>53003.03</v>
      </c>
      <c r="G818" s="16" t="n">
        <f aca="false">ROUND(E818+F818,2)</f>
        <v>122685.44</v>
      </c>
    </row>
    <row r="819" customFormat="false" ht="15" hidden="false" customHeight="false" outlineLevel="0" collapsed="false">
      <c r="A819" s="14" t="s">
        <v>40</v>
      </c>
      <c r="B819" s="14" t="n">
        <v>2026</v>
      </c>
      <c r="C819" s="14" t="n">
        <v>2</v>
      </c>
      <c r="D819" s="14" t="s">
        <v>51</v>
      </c>
      <c r="E819" s="15" t="n">
        <v>92272.03</v>
      </c>
      <c r="F819" s="15" t="n">
        <v>78002.06</v>
      </c>
      <c r="G819" s="16" t="n">
        <f aca="false">ROUND(E819+F819,2)</f>
        <v>170274.09</v>
      </c>
    </row>
    <row r="820" customFormat="false" ht="15" hidden="false" customHeight="false" outlineLevel="0" collapsed="false">
      <c r="A820" s="14" t="s">
        <v>40</v>
      </c>
      <c r="B820" s="14" t="n">
        <v>2026</v>
      </c>
      <c r="C820" s="14" t="n">
        <v>3</v>
      </c>
      <c r="D820" s="14" t="s">
        <v>52</v>
      </c>
      <c r="E820" s="15" t="n">
        <v>125178.68</v>
      </c>
      <c r="F820" s="15" t="n">
        <v>56395.37</v>
      </c>
      <c r="G820" s="16" t="n">
        <f aca="false">ROUND(E820+F820,2)</f>
        <v>181574.05</v>
      </c>
    </row>
    <row r="821" customFormat="false" ht="15" hidden="false" customHeight="false" outlineLevel="0" collapsed="false">
      <c r="A821" s="14" t="s">
        <v>40</v>
      </c>
      <c r="B821" s="14" t="n">
        <v>2026</v>
      </c>
      <c r="C821" s="14" t="n">
        <v>4</v>
      </c>
      <c r="D821" s="14" t="s">
        <v>53</v>
      </c>
      <c r="E821" s="15" t="n">
        <v>95472.62</v>
      </c>
      <c r="F821" s="15" t="n">
        <v>63530.03</v>
      </c>
      <c r="G821" s="16" t="n">
        <f aca="false">ROUND(E821+F821,2)</f>
        <v>159002.65</v>
      </c>
    </row>
    <row r="822" customFormat="false" ht="15" hidden="false" customHeight="false" outlineLevel="0" collapsed="false">
      <c r="A822" s="14" t="s">
        <v>40</v>
      </c>
      <c r="B822" s="14" t="n">
        <v>2026</v>
      </c>
      <c r="C822" s="14" t="n">
        <v>5</v>
      </c>
      <c r="D822" s="14" t="s">
        <v>54</v>
      </c>
      <c r="E822" s="15" t="n">
        <v>106105.6</v>
      </c>
      <c r="F822" s="15" t="n">
        <v>52450.32</v>
      </c>
      <c r="G822" s="16" t="n">
        <f aca="false">ROUND(E822+F822,2)</f>
        <v>158555.92</v>
      </c>
    </row>
    <row r="823" customFormat="false" ht="15" hidden="false" customHeight="false" outlineLevel="0" collapsed="false">
      <c r="A823" s="14" t="s">
        <v>40</v>
      </c>
      <c r="B823" s="14" t="n">
        <v>2026</v>
      </c>
      <c r="C823" s="14" t="n">
        <v>6</v>
      </c>
      <c r="D823" s="14" t="s">
        <v>55</v>
      </c>
      <c r="E823" s="15" t="n">
        <v>118651.26</v>
      </c>
      <c r="F823" s="15" t="n">
        <v>59307.55</v>
      </c>
      <c r="G823" s="16" t="n">
        <f aca="false">ROUND(E823+F823,2)</f>
        <v>177958.81</v>
      </c>
    </row>
    <row r="824" customFormat="false" ht="15" hidden="false" customHeight="false" outlineLevel="0" collapsed="false">
      <c r="A824" s="14" t="s">
        <v>40</v>
      </c>
      <c r="B824" s="14" t="n">
        <v>2026</v>
      </c>
      <c r="C824" s="14" t="n">
        <v>7</v>
      </c>
      <c r="D824" s="14" t="s">
        <v>56</v>
      </c>
      <c r="E824" s="15" t="n">
        <v>142107.98</v>
      </c>
      <c r="F824" s="15" t="n">
        <v>64269.31</v>
      </c>
      <c r="G824" s="16" t="n">
        <f aca="false">ROUND(E824+F824,2)</f>
        <v>206377.29</v>
      </c>
    </row>
    <row r="825" customFormat="false" ht="15" hidden="false" customHeight="false" outlineLevel="0" collapsed="false">
      <c r="A825" s="14" t="s">
        <v>36</v>
      </c>
      <c r="B825" s="14" t="n">
        <v>2021</v>
      </c>
      <c r="C825" s="14" t="n">
        <v>1</v>
      </c>
      <c r="D825" s="14" t="s">
        <v>50</v>
      </c>
      <c r="E825" s="15" t="n">
        <v>60782.78</v>
      </c>
      <c r="F825" s="15" t="n">
        <v>43267.41</v>
      </c>
      <c r="G825" s="16" t="n">
        <f aca="false">ROUND(E825+F825,2)</f>
        <v>104050.19</v>
      </c>
    </row>
    <row r="826" customFormat="false" ht="15" hidden="false" customHeight="false" outlineLevel="0" collapsed="false">
      <c r="A826" s="14" t="s">
        <v>36</v>
      </c>
      <c r="B826" s="14" t="n">
        <v>2021</v>
      </c>
      <c r="C826" s="14" t="n">
        <v>2</v>
      </c>
      <c r="D826" s="14" t="s">
        <v>51</v>
      </c>
      <c r="E826" s="15" t="n">
        <v>61165.4</v>
      </c>
      <c r="F826" s="15" t="n">
        <v>41542.47</v>
      </c>
      <c r="G826" s="16" t="n">
        <f aca="false">ROUND(E826+F826,2)</f>
        <v>102707.87</v>
      </c>
    </row>
    <row r="827" customFormat="false" ht="15" hidden="false" customHeight="false" outlineLevel="0" collapsed="false">
      <c r="A827" s="14" t="s">
        <v>36</v>
      </c>
      <c r="B827" s="14" t="n">
        <v>2021</v>
      </c>
      <c r="C827" s="14" t="n">
        <v>3</v>
      </c>
      <c r="D827" s="14" t="s">
        <v>52</v>
      </c>
      <c r="E827" s="15" t="n">
        <v>91207.94</v>
      </c>
      <c r="F827" s="15" t="n">
        <v>58621.56</v>
      </c>
      <c r="G827" s="16" t="n">
        <f aca="false">ROUND(E827+F827,2)</f>
        <v>149829.5</v>
      </c>
    </row>
    <row r="828" customFormat="false" ht="15" hidden="false" customHeight="false" outlineLevel="0" collapsed="false">
      <c r="A828" s="14" t="s">
        <v>36</v>
      </c>
      <c r="B828" s="14" t="n">
        <v>2021</v>
      </c>
      <c r="C828" s="14" t="n">
        <v>4</v>
      </c>
      <c r="D828" s="14" t="s">
        <v>53</v>
      </c>
      <c r="E828" s="15" t="n">
        <v>103814.2</v>
      </c>
      <c r="F828" s="15" t="n">
        <v>47507.22</v>
      </c>
      <c r="G828" s="16" t="n">
        <f aca="false">ROUND(E828+F828,2)</f>
        <v>151321.42</v>
      </c>
    </row>
    <row r="829" customFormat="false" ht="15" hidden="false" customHeight="false" outlineLevel="0" collapsed="false">
      <c r="A829" s="14" t="s">
        <v>36</v>
      </c>
      <c r="B829" s="14" t="n">
        <v>2021</v>
      </c>
      <c r="C829" s="14" t="n">
        <v>5</v>
      </c>
      <c r="D829" s="14" t="s">
        <v>54</v>
      </c>
      <c r="E829" s="15" t="n">
        <v>86137.01</v>
      </c>
      <c r="F829" s="15" t="n">
        <v>51617.96</v>
      </c>
      <c r="G829" s="16" t="n">
        <f aca="false">ROUND(E829+F829,2)</f>
        <v>137754.97</v>
      </c>
    </row>
    <row r="830" customFormat="false" ht="15" hidden="false" customHeight="false" outlineLevel="0" collapsed="false">
      <c r="A830" s="14" t="s">
        <v>36</v>
      </c>
      <c r="B830" s="14" t="n">
        <v>2021</v>
      </c>
      <c r="C830" s="14" t="n">
        <v>6</v>
      </c>
      <c r="D830" s="14" t="s">
        <v>55</v>
      </c>
      <c r="E830" s="15" t="n">
        <v>66006.44</v>
      </c>
      <c r="F830" s="15" t="n">
        <v>53608.44</v>
      </c>
      <c r="G830" s="16" t="n">
        <f aca="false">ROUND(E830+F830,2)</f>
        <v>119614.88</v>
      </c>
    </row>
    <row r="831" customFormat="false" ht="15" hidden="false" customHeight="false" outlineLevel="0" collapsed="false">
      <c r="A831" s="14" t="s">
        <v>36</v>
      </c>
      <c r="B831" s="14" t="n">
        <v>2021</v>
      </c>
      <c r="C831" s="14" t="n">
        <v>7</v>
      </c>
      <c r="D831" s="14" t="s">
        <v>56</v>
      </c>
      <c r="E831" s="15" t="n">
        <v>61596.64</v>
      </c>
      <c r="F831" s="15" t="n">
        <v>46030.64</v>
      </c>
      <c r="G831" s="16" t="n">
        <f aca="false">ROUND(E831+F831,2)</f>
        <v>107627.28</v>
      </c>
    </row>
    <row r="832" customFormat="false" ht="15" hidden="false" customHeight="false" outlineLevel="0" collapsed="false">
      <c r="A832" s="14" t="s">
        <v>36</v>
      </c>
      <c r="B832" s="14" t="n">
        <v>2021</v>
      </c>
      <c r="C832" s="14" t="n">
        <v>8</v>
      </c>
      <c r="D832" s="14" t="s">
        <v>57</v>
      </c>
      <c r="E832" s="15" t="n">
        <v>34813.81</v>
      </c>
      <c r="F832" s="15" t="n">
        <v>8052.23</v>
      </c>
      <c r="G832" s="16" t="n">
        <f aca="false">ROUND(E832+F832,2)</f>
        <v>42866.04</v>
      </c>
    </row>
    <row r="833" customFormat="false" ht="15" hidden="false" customHeight="false" outlineLevel="0" collapsed="false">
      <c r="A833" s="14" t="s">
        <v>36</v>
      </c>
      <c r="B833" s="14" t="n">
        <v>2021</v>
      </c>
      <c r="C833" s="14" t="n">
        <v>9</v>
      </c>
      <c r="D833" s="14" t="s">
        <v>58</v>
      </c>
      <c r="E833" s="15" t="n">
        <v>27380.61</v>
      </c>
      <c r="F833" s="15" t="n">
        <v>20918.94</v>
      </c>
      <c r="G833" s="16" t="n">
        <f aca="false">ROUND(E833+F833,2)</f>
        <v>48299.55</v>
      </c>
    </row>
    <row r="834" customFormat="false" ht="15" hidden="false" customHeight="false" outlineLevel="0" collapsed="false">
      <c r="A834" s="14" t="s">
        <v>36</v>
      </c>
      <c r="B834" s="14" t="n">
        <v>2021</v>
      </c>
      <c r="C834" s="14" t="n">
        <v>10</v>
      </c>
      <c r="D834" s="14" t="s">
        <v>59</v>
      </c>
      <c r="E834" s="15" t="n">
        <v>36573.97</v>
      </c>
      <c r="F834" s="15" t="n">
        <v>17573.1</v>
      </c>
      <c r="G834" s="16" t="n">
        <f aca="false">ROUND(E834+F834,2)</f>
        <v>54147.07</v>
      </c>
    </row>
    <row r="835" customFormat="false" ht="15" hidden="false" customHeight="false" outlineLevel="0" collapsed="false">
      <c r="A835" s="14" t="s">
        <v>36</v>
      </c>
      <c r="B835" s="14" t="n">
        <v>2021</v>
      </c>
      <c r="C835" s="14" t="n">
        <v>11</v>
      </c>
      <c r="D835" s="14" t="s">
        <v>60</v>
      </c>
      <c r="E835" s="15" t="n">
        <v>63975.62</v>
      </c>
      <c r="F835" s="15" t="n">
        <v>56876.69</v>
      </c>
      <c r="G835" s="16" t="n">
        <f aca="false">ROUND(E835+F835,2)</f>
        <v>120852.31</v>
      </c>
    </row>
    <row r="836" customFormat="false" ht="15" hidden="false" customHeight="false" outlineLevel="0" collapsed="false">
      <c r="A836" s="14" t="s">
        <v>36</v>
      </c>
      <c r="B836" s="14" t="n">
        <v>2021</v>
      </c>
      <c r="C836" s="14" t="n">
        <v>12</v>
      </c>
      <c r="D836" s="14" t="s">
        <v>61</v>
      </c>
      <c r="E836" s="15" t="n">
        <v>67307.66</v>
      </c>
      <c r="F836" s="15" t="n">
        <v>51496.83</v>
      </c>
      <c r="G836" s="16" t="n">
        <f aca="false">ROUND(E836+F836,2)</f>
        <v>118804.49</v>
      </c>
    </row>
    <row r="837" customFormat="false" ht="15" hidden="false" customHeight="false" outlineLevel="0" collapsed="false">
      <c r="A837" s="14" t="s">
        <v>36</v>
      </c>
      <c r="B837" s="14" t="n">
        <v>2022</v>
      </c>
      <c r="C837" s="14" t="n">
        <v>1</v>
      </c>
      <c r="D837" s="14" t="s">
        <v>50</v>
      </c>
      <c r="E837" s="15" t="n">
        <v>46263.09</v>
      </c>
      <c r="F837" s="15" t="n">
        <v>48569.89</v>
      </c>
      <c r="G837" s="16" t="n">
        <f aca="false">ROUND(E837+F837,2)</f>
        <v>94832.98</v>
      </c>
    </row>
    <row r="838" customFormat="false" ht="15" hidden="false" customHeight="false" outlineLevel="0" collapsed="false">
      <c r="A838" s="14" t="s">
        <v>36</v>
      </c>
      <c r="B838" s="14" t="n">
        <v>2022</v>
      </c>
      <c r="C838" s="14" t="n">
        <v>2</v>
      </c>
      <c r="D838" s="14" t="s">
        <v>51</v>
      </c>
      <c r="E838" s="15" t="n">
        <v>55702.77</v>
      </c>
      <c r="F838" s="15" t="n">
        <v>50149.74</v>
      </c>
      <c r="G838" s="16" t="n">
        <f aca="false">ROUND(E838+F838,2)</f>
        <v>105852.51</v>
      </c>
    </row>
    <row r="839" customFormat="false" ht="15" hidden="false" customHeight="false" outlineLevel="0" collapsed="false">
      <c r="A839" s="14" t="s">
        <v>36</v>
      </c>
      <c r="B839" s="14" t="n">
        <v>2022</v>
      </c>
      <c r="C839" s="14" t="n">
        <v>3</v>
      </c>
      <c r="D839" s="14" t="s">
        <v>52</v>
      </c>
      <c r="E839" s="15" t="n">
        <v>76497.1</v>
      </c>
      <c r="F839" s="15" t="n">
        <v>65628.63</v>
      </c>
      <c r="G839" s="16" t="n">
        <f aca="false">ROUND(E839+F839,2)</f>
        <v>142125.73</v>
      </c>
    </row>
    <row r="840" customFormat="false" ht="15" hidden="false" customHeight="false" outlineLevel="0" collapsed="false">
      <c r="A840" s="14" t="s">
        <v>36</v>
      </c>
      <c r="B840" s="14" t="n">
        <v>2022</v>
      </c>
      <c r="C840" s="14" t="n">
        <v>4</v>
      </c>
      <c r="D840" s="14" t="s">
        <v>53</v>
      </c>
      <c r="E840" s="15" t="n">
        <v>58846.57</v>
      </c>
      <c r="F840" s="15" t="n">
        <v>60362.69</v>
      </c>
      <c r="G840" s="16" t="n">
        <f aca="false">ROUND(E840+F840,2)</f>
        <v>119209.26</v>
      </c>
    </row>
    <row r="841" customFormat="false" ht="15" hidden="false" customHeight="false" outlineLevel="0" collapsed="false">
      <c r="A841" s="14" t="s">
        <v>36</v>
      </c>
      <c r="B841" s="14" t="n">
        <v>2022</v>
      </c>
      <c r="C841" s="14" t="n">
        <v>5</v>
      </c>
      <c r="D841" s="14" t="s">
        <v>54</v>
      </c>
      <c r="E841" s="15" t="n">
        <v>71011.1</v>
      </c>
      <c r="F841" s="15" t="n">
        <v>57141.35</v>
      </c>
      <c r="G841" s="16" t="n">
        <f aca="false">ROUND(E841+F841,2)</f>
        <v>128152.45</v>
      </c>
    </row>
    <row r="842" customFormat="false" ht="15" hidden="false" customHeight="false" outlineLevel="0" collapsed="false">
      <c r="A842" s="14" t="s">
        <v>36</v>
      </c>
      <c r="B842" s="14" t="n">
        <v>2022</v>
      </c>
      <c r="C842" s="14" t="n">
        <v>6</v>
      </c>
      <c r="D842" s="14" t="s">
        <v>55</v>
      </c>
      <c r="E842" s="15" t="n">
        <v>62485.09</v>
      </c>
      <c r="F842" s="15" t="n">
        <v>47526.65</v>
      </c>
      <c r="G842" s="16" t="n">
        <f aca="false">ROUND(E842+F842,2)</f>
        <v>110011.74</v>
      </c>
    </row>
    <row r="843" customFormat="false" ht="15" hidden="false" customHeight="false" outlineLevel="0" collapsed="false">
      <c r="A843" s="14" t="s">
        <v>36</v>
      </c>
      <c r="B843" s="14" t="n">
        <v>2022</v>
      </c>
      <c r="C843" s="14" t="n">
        <v>7</v>
      </c>
      <c r="D843" s="14" t="s">
        <v>56</v>
      </c>
      <c r="E843" s="15" t="n">
        <v>61068.33</v>
      </c>
      <c r="F843" s="15" t="n">
        <v>51706.25</v>
      </c>
      <c r="G843" s="16" t="n">
        <f aca="false">ROUND(E843+F843,2)</f>
        <v>112774.58</v>
      </c>
    </row>
    <row r="844" customFormat="false" ht="15" hidden="false" customHeight="false" outlineLevel="0" collapsed="false">
      <c r="A844" s="14" t="s">
        <v>36</v>
      </c>
      <c r="B844" s="14" t="n">
        <v>2022</v>
      </c>
      <c r="C844" s="14" t="n">
        <v>8</v>
      </c>
      <c r="D844" s="14" t="s">
        <v>57</v>
      </c>
      <c r="E844" s="15" t="n">
        <v>68778.16</v>
      </c>
      <c r="F844" s="15" t="n">
        <v>64742.79</v>
      </c>
      <c r="G844" s="16" t="n">
        <f aca="false">ROUND(E844+F844,2)</f>
        <v>133520.95</v>
      </c>
    </row>
    <row r="845" customFormat="false" ht="15" hidden="false" customHeight="false" outlineLevel="0" collapsed="false">
      <c r="A845" s="14" t="s">
        <v>36</v>
      </c>
      <c r="B845" s="14" t="n">
        <v>2022</v>
      </c>
      <c r="C845" s="14" t="n">
        <v>9</v>
      </c>
      <c r="D845" s="14" t="s">
        <v>58</v>
      </c>
      <c r="E845" s="15" t="n">
        <v>57885.42</v>
      </c>
      <c r="F845" s="15" t="n">
        <v>46318.12</v>
      </c>
      <c r="G845" s="16" t="n">
        <f aca="false">ROUND(E845+F845,2)</f>
        <v>104203.54</v>
      </c>
    </row>
    <row r="846" customFormat="false" ht="15" hidden="false" customHeight="false" outlineLevel="0" collapsed="false">
      <c r="A846" s="14" t="s">
        <v>36</v>
      </c>
      <c r="B846" s="14" t="n">
        <v>2022</v>
      </c>
      <c r="C846" s="14" t="n">
        <v>10</v>
      </c>
      <c r="D846" s="14" t="s">
        <v>59</v>
      </c>
      <c r="E846" s="15" t="n">
        <v>56433.92</v>
      </c>
      <c r="F846" s="15" t="n">
        <v>41436</v>
      </c>
      <c r="G846" s="16" t="n">
        <f aca="false">ROUND(E846+F846,2)</f>
        <v>97869.92</v>
      </c>
    </row>
    <row r="847" customFormat="false" ht="15" hidden="false" customHeight="false" outlineLevel="0" collapsed="false">
      <c r="A847" s="14" t="s">
        <v>36</v>
      </c>
      <c r="B847" s="14" t="n">
        <v>2022</v>
      </c>
      <c r="C847" s="14" t="n">
        <v>11</v>
      </c>
      <c r="D847" s="14" t="s">
        <v>60</v>
      </c>
      <c r="E847" s="15" t="n">
        <v>80982.32</v>
      </c>
      <c r="F847" s="15" t="n">
        <v>30852.98</v>
      </c>
      <c r="G847" s="16" t="n">
        <f aca="false">ROUND(E847+F847,2)</f>
        <v>111835.3</v>
      </c>
    </row>
    <row r="848" customFormat="false" ht="15" hidden="false" customHeight="false" outlineLevel="0" collapsed="false">
      <c r="A848" s="14" t="s">
        <v>36</v>
      </c>
      <c r="B848" s="14" t="n">
        <v>2022</v>
      </c>
      <c r="C848" s="14" t="n">
        <v>12</v>
      </c>
      <c r="D848" s="14" t="s">
        <v>61</v>
      </c>
      <c r="E848" s="15" t="n">
        <v>91700.11</v>
      </c>
      <c r="F848" s="15" t="n">
        <v>59823.38</v>
      </c>
      <c r="G848" s="16" t="n">
        <f aca="false">ROUND(E848+F848,2)</f>
        <v>151523.49</v>
      </c>
    </row>
    <row r="849" customFormat="false" ht="15" hidden="false" customHeight="false" outlineLevel="0" collapsed="false">
      <c r="A849" s="14" t="s">
        <v>36</v>
      </c>
      <c r="B849" s="14" t="n">
        <v>2023</v>
      </c>
      <c r="C849" s="14" t="n">
        <v>1</v>
      </c>
      <c r="D849" s="14" t="s">
        <v>50</v>
      </c>
      <c r="E849" s="15" t="n">
        <v>87630.86</v>
      </c>
      <c r="F849" s="15" t="n">
        <v>59710.81</v>
      </c>
      <c r="G849" s="16" t="n">
        <f aca="false">ROUND(E849+F849,2)</f>
        <v>147341.67</v>
      </c>
    </row>
    <row r="850" customFormat="false" ht="15" hidden="false" customHeight="false" outlineLevel="0" collapsed="false">
      <c r="A850" s="14" t="s">
        <v>36</v>
      </c>
      <c r="B850" s="14" t="n">
        <v>2023</v>
      </c>
      <c r="C850" s="14" t="n">
        <v>2</v>
      </c>
      <c r="D850" s="14" t="s">
        <v>51</v>
      </c>
      <c r="E850" s="15" t="n">
        <v>90647.57</v>
      </c>
      <c r="F850" s="15" t="n">
        <v>77589.5</v>
      </c>
      <c r="G850" s="16" t="n">
        <f aca="false">ROUND(E850+F850,2)</f>
        <v>168237.07</v>
      </c>
    </row>
    <row r="851" customFormat="false" ht="15" hidden="false" customHeight="false" outlineLevel="0" collapsed="false">
      <c r="A851" s="14" t="s">
        <v>36</v>
      </c>
      <c r="B851" s="14" t="n">
        <v>2023</v>
      </c>
      <c r="C851" s="14" t="n">
        <v>3</v>
      </c>
      <c r="D851" s="14" t="s">
        <v>52</v>
      </c>
      <c r="E851" s="15" t="n">
        <v>119403.33</v>
      </c>
      <c r="F851" s="15" t="n">
        <v>79427.5</v>
      </c>
      <c r="G851" s="16" t="n">
        <f aca="false">ROUND(E851+F851,2)</f>
        <v>198830.83</v>
      </c>
    </row>
    <row r="852" customFormat="false" ht="15" hidden="false" customHeight="false" outlineLevel="0" collapsed="false">
      <c r="A852" s="14" t="s">
        <v>36</v>
      </c>
      <c r="B852" s="14" t="n">
        <v>2023</v>
      </c>
      <c r="C852" s="14" t="n">
        <v>4</v>
      </c>
      <c r="D852" s="14" t="s">
        <v>53</v>
      </c>
      <c r="E852" s="15" t="n">
        <v>87808.28</v>
      </c>
      <c r="F852" s="15" t="n">
        <v>56027.97</v>
      </c>
      <c r="G852" s="16" t="n">
        <f aca="false">ROUND(E852+F852,2)</f>
        <v>143836.25</v>
      </c>
    </row>
    <row r="853" customFormat="false" ht="15" hidden="false" customHeight="false" outlineLevel="0" collapsed="false">
      <c r="A853" s="14" t="s">
        <v>36</v>
      </c>
      <c r="B853" s="14" t="n">
        <v>2023</v>
      </c>
      <c r="C853" s="14" t="n">
        <v>5</v>
      </c>
      <c r="D853" s="14" t="s">
        <v>54</v>
      </c>
      <c r="E853" s="15" t="n">
        <v>126819.77</v>
      </c>
      <c r="F853" s="15" t="n">
        <v>86569.83</v>
      </c>
      <c r="G853" s="16" t="n">
        <f aca="false">ROUND(E853+F853,2)</f>
        <v>213389.6</v>
      </c>
    </row>
    <row r="854" customFormat="false" ht="15" hidden="false" customHeight="false" outlineLevel="0" collapsed="false">
      <c r="A854" s="14" t="s">
        <v>36</v>
      </c>
      <c r="B854" s="14" t="n">
        <v>2023</v>
      </c>
      <c r="C854" s="14" t="n">
        <v>6</v>
      </c>
      <c r="D854" s="14" t="s">
        <v>55</v>
      </c>
      <c r="E854" s="15" t="n">
        <v>144311.62</v>
      </c>
      <c r="F854" s="15" t="n">
        <v>115917.32</v>
      </c>
      <c r="G854" s="16" t="n">
        <f aca="false">ROUND(E854+F854,2)</f>
        <v>260228.94</v>
      </c>
    </row>
    <row r="855" customFormat="false" ht="15" hidden="false" customHeight="false" outlineLevel="0" collapsed="false">
      <c r="A855" s="14" t="s">
        <v>36</v>
      </c>
      <c r="B855" s="14" t="n">
        <v>2023</v>
      </c>
      <c r="C855" s="14" t="n">
        <v>7</v>
      </c>
      <c r="D855" s="14" t="s">
        <v>56</v>
      </c>
      <c r="E855" s="15" t="n">
        <v>98516.55</v>
      </c>
      <c r="F855" s="15" t="n">
        <v>92070.02</v>
      </c>
      <c r="G855" s="16" t="n">
        <f aca="false">ROUND(E855+F855,2)</f>
        <v>190586.57</v>
      </c>
    </row>
    <row r="856" customFormat="false" ht="15" hidden="false" customHeight="false" outlineLevel="0" collapsed="false">
      <c r="A856" s="14" t="s">
        <v>36</v>
      </c>
      <c r="B856" s="14" t="n">
        <v>2023</v>
      </c>
      <c r="C856" s="14" t="n">
        <v>8</v>
      </c>
      <c r="D856" s="14" t="s">
        <v>57</v>
      </c>
      <c r="E856" s="15" t="n">
        <v>132737.41</v>
      </c>
      <c r="F856" s="15" t="n">
        <v>122684.45</v>
      </c>
      <c r="G856" s="16" t="n">
        <f aca="false">ROUND(E856+F856,2)</f>
        <v>255421.86</v>
      </c>
    </row>
    <row r="857" customFormat="false" ht="15" hidden="false" customHeight="false" outlineLevel="0" collapsed="false">
      <c r="A857" s="14" t="s">
        <v>36</v>
      </c>
      <c r="B857" s="14" t="n">
        <v>2023</v>
      </c>
      <c r="C857" s="14" t="n">
        <v>9</v>
      </c>
      <c r="D857" s="14" t="s">
        <v>58</v>
      </c>
      <c r="E857" s="15" t="n">
        <v>109216.08</v>
      </c>
      <c r="F857" s="15" t="n">
        <v>95509.14</v>
      </c>
      <c r="G857" s="16" t="n">
        <f aca="false">ROUND(E857+F857,2)</f>
        <v>204725.22</v>
      </c>
    </row>
    <row r="858" customFormat="false" ht="15" hidden="false" customHeight="false" outlineLevel="0" collapsed="false">
      <c r="A858" s="14" t="s">
        <v>36</v>
      </c>
      <c r="B858" s="14" t="n">
        <v>2023</v>
      </c>
      <c r="C858" s="14" t="n">
        <v>10</v>
      </c>
      <c r="D858" s="14" t="s">
        <v>59</v>
      </c>
      <c r="E858" s="15" t="n">
        <v>136707.93</v>
      </c>
      <c r="F858" s="15" t="n">
        <v>156350.52</v>
      </c>
      <c r="G858" s="16" t="n">
        <f aca="false">ROUND(E858+F858,2)</f>
        <v>293058.45</v>
      </c>
    </row>
    <row r="859" customFormat="false" ht="15" hidden="false" customHeight="false" outlineLevel="0" collapsed="false">
      <c r="A859" s="14" t="s">
        <v>36</v>
      </c>
      <c r="B859" s="14" t="n">
        <v>2023</v>
      </c>
      <c r="C859" s="14" t="n">
        <v>11</v>
      </c>
      <c r="D859" s="14" t="s">
        <v>60</v>
      </c>
      <c r="E859" s="15" t="n">
        <v>111407.65</v>
      </c>
      <c r="F859" s="15" t="n">
        <v>82763.74</v>
      </c>
      <c r="G859" s="16" t="n">
        <f aca="false">ROUND(E859+F859,2)</f>
        <v>194171.39</v>
      </c>
    </row>
    <row r="860" customFormat="false" ht="15" hidden="false" customHeight="false" outlineLevel="0" collapsed="false">
      <c r="A860" s="14" t="s">
        <v>36</v>
      </c>
      <c r="B860" s="14" t="n">
        <v>2023</v>
      </c>
      <c r="C860" s="14" t="n">
        <v>12</v>
      </c>
      <c r="D860" s="14" t="s">
        <v>61</v>
      </c>
      <c r="E860" s="15" t="n">
        <v>101202.86</v>
      </c>
      <c r="F860" s="15" t="n">
        <v>82929.57</v>
      </c>
      <c r="G860" s="16" t="n">
        <f aca="false">ROUND(E860+F860,2)</f>
        <v>184132.43</v>
      </c>
    </row>
    <row r="861" customFormat="false" ht="15" hidden="false" customHeight="false" outlineLevel="0" collapsed="false">
      <c r="A861" s="14" t="s">
        <v>36</v>
      </c>
      <c r="B861" s="14" t="n">
        <v>2024</v>
      </c>
      <c r="C861" s="14" t="n">
        <v>1</v>
      </c>
      <c r="D861" s="14" t="s">
        <v>50</v>
      </c>
      <c r="E861" s="15" t="n">
        <v>117748.05</v>
      </c>
      <c r="F861" s="15" t="n">
        <v>99744.98</v>
      </c>
      <c r="G861" s="16" t="n">
        <f aca="false">ROUND(E861+F861,2)</f>
        <v>217493.03</v>
      </c>
    </row>
    <row r="862" customFormat="false" ht="15" hidden="false" customHeight="false" outlineLevel="0" collapsed="false">
      <c r="A862" s="14" t="s">
        <v>36</v>
      </c>
      <c r="B862" s="14" t="n">
        <v>2024</v>
      </c>
      <c r="C862" s="14" t="n">
        <v>2</v>
      </c>
      <c r="D862" s="14" t="s">
        <v>51</v>
      </c>
      <c r="E862" s="15" t="n">
        <v>119376.84</v>
      </c>
      <c r="F862" s="15" t="n">
        <v>94992.35</v>
      </c>
      <c r="G862" s="16" t="n">
        <f aca="false">ROUND(E862+F862,2)</f>
        <v>214369.19</v>
      </c>
    </row>
    <row r="863" customFormat="false" ht="15" hidden="false" customHeight="false" outlineLevel="0" collapsed="false">
      <c r="A863" s="14" t="s">
        <v>36</v>
      </c>
      <c r="B863" s="14" t="n">
        <v>2024</v>
      </c>
      <c r="C863" s="14" t="n">
        <v>3</v>
      </c>
      <c r="D863" s="14" t="s">
        <v>52</v>
      </c>
      <c r="E863" s="15" t="n">
        <v>114402.43</v>
      </c>
      <c r="F863" s="15" t="n">
        <v>90147.44</v>
      </c>
      <c r="G863" s="16" t="n">
        <f aca="false">ROUND(E863+F863,2)</f>
        <v>204549.87</v>
      </c>
    </row>
    <row r="864" customFormat="false" ht="15" hidden="false" customHeight="false" outlineLevel="0" collapsed="false">
      <c r="A864" s="14" t="s">
        <v>36</v>
      </c>
      <c r="B864" s="14" t="n">
        <v>2024</v>
      </c>
      <c r="C864" s="14" t="n">
        <v>4</v>
      </c>
      <c r="D864" s="14" t="s">
        <v>53</v>
      </c>
      <c r="E864" s="15" t="n">
        <v>113717.78</v>
      </c>
      <c r="F864" s="15" t="n">
        <v>113477.07</v>
      </c>
      <c r="G864" s="16" t="n">
        <f aca="false">ROUND(E864+F864,2)</f>
        <v>227194.85</v>
      </c>
    </row>
    <row r="865" customFormat="false" ht="15" hidden="false" customHeight="false" outlineLevel="0" collapsed="false">
      <c r="A865" s="14" t="s">
        <v>36</v>
      </c>
      <c r="B865" s="14" t="n">
        <v>2024</v>
      </c>
      <c r="C865" s="14" t="n">
        <v>5</v>
      </c>
      <c r="D865" s="14" t="s">
        <v>54</v>
      </c>
      <c r="E865" s="15" t="n">
        <v>137301.28</v>
      </c>
      <c r="F865" s="15" t="n">
        <v>95751.86</v>
      </c>
      <c r="G865" s="16" t="n">
        <f aca="false">ROUND(E865+F865,2)</f>
        <v>233053.14</v>
      </c>
    </row>
    <row r="866" customFormat="false" ht="15" hidden="false" customHeight="false" outlineLevel="0" collapsed="false">
      <c r="A866" s="14" t="s">
        <v>36</v>
      </c>
      <c r="B866" s="14" t="n">
        <v>2024</v>
      </c>
      <c r="C866" s="14" t="n">
        <v>6</v>
      </c>
      <c r="D866" s="14" t="s">
        <v>55</v>
      </c>
      <c r="E866" s="15" t="n">
        <v>35868.96</v>
      </c>
      <c r="F866" s="15" t="n">
        <v>41062.73</v>
      </c>
      <c r="G866" s="16" t="n">
        <f aca="false">ROUND(E866+F866,2)</f>
        <v>76931.69</v>
      </c>
    </row>
    <row r="867" customFormat="false" ht="15" hidden="false" customHeight="false" outlineLevel="0" collapsed="false">
      <c r="A867" s="14" t="s">
        <v>36</v>
      </c>
      <c r="B867" s="14" t="n">
        <v>2024</v>
      </c>
      <c r="C867" s="14" t="n">
        <v>7</v>
      </c>
      <c r="D867" s="14" t="s">
        <v>56</v>
      </c>
      <c r="E867" s="15" t="n">
        <v>142766.52</v>
      </c>
      <c r="F867" s="15" t="n">
        <v>125612.79</v>
      </c>
      <c r="G867" s="16" t="n">
        <f aca="false">ROUND(E867+F867,2)</f>
        <v>268379.31</v>
      </c>
    </row>
    <row r="868" customFormat="false" ht="15" hidden="false" customHeight="false" outlineLevel="0" collapsed="false">
      <c r="A868" s="14" t="s">
        <v>36</v>
      </c>
      <c r="B868" s="14" t="n">
        <v>2024</v>
      </c>
      <c r="C868" s="14" t="n">
        <v>8</v>
      </c>
      <c r="D868" s="14" t="s">
        <v>57</v>
      </c>
      <c r="E868" s="15" t="n">
        <v>135106.64</v>
      </c>
      <c r="F868" s="15" t="n">
        <v>126212.83</v>
      </c>
      <c r="G868" s="16" t="n">
        <f aca="false">ROUND(E868+F868,2)</f>
        <v>261319.47</v>
      </c>
    </row>
    <row r="869" customFormat="false" ht="15" hidden="false" customHeight="false" outlineLevel="0" collapsed="false">
      <c r="A869" s="14" t="s">
        <v>36</v>
      </c>
      <c r="B869" s="14" t="n">
        <v>2024</v>
      </c>
      <c r="C869" s="14" t="n">
        <v>9</v>
      </c>
      <c r="D869" s="14" t="s">
        <v>58</v>
      </c>
      <c r="E869" s="15" t="n">
        <v>137221.03</v>
      </c>
      <c r="F869" s="15" t="n">
        <v>132499.85</v>
      </c>
      <c r="G869" s="16" t="n">
        <f aca="false">ROUND(E869+F869,2)</f>
        <v>269720.88</v>
      </c>
    </row>
    <row r="870" customFormat="false" ht="15" hidden="false" customHeight="false" outlineLevel="0" collapsed="false">
      <c r="A870" s="14" t="s">
        <v>36</v>
      </c>
      <c r="B870" s="14" t="n">
        <v>2024</v>
      </c>
      <c r="C870" s="14" t="n">
        <v>10</v>
      </c>
      <c r="D870" s="14" t="s">
        <v>59</v>
      </c>
      <c r="E870" s="15" t="n">
        <v>132514.46</v>
      </c>
      <c r="F870" s="15" t="n">
        <v>123773</v>
      </c>
      <c r="G870" s="16" t="n">
        <f aca="false">ROUND(E870+F870,2)</f>
        <v>256287.46</v>
      </c>
    </row>
    <row r="871" customFormat="false" ht="15" hidden="false" customHeight="false" outlineLevel="0" collapsed="false">
      <c r="A871" s="14" t="s">
        <v>36</v>
      </c>
      <c r="B871" s="14" t="n">
        <v>2024</v>
      </c>
      <c r="C871" s="14" t="n">
        <v>11</v>
      </c>
      <c r="D871" s="14" t="s">
        <v>60</v>
      </c>
      <c r="E871" s="15" t="n">
        <v>104582.43</v>
      </c>
      <c r="F871" s="15" t="n">
        <v>118951.52</v>
      </c>
      <c r="G871" s="16" t="n">
        <f aca="false">ROUND(E871+F871,2)</f>
        <v>223533.95</v>
      </c>
    </row>
    <row r="872" customFormat="false" ht="15" hidden="false" customHeight="false" outlineLevel="0" collapsed="false">
      <c r="A872" s="14" t="s">
        <v>36</v>
      </c>
      <c r="B872" s="14" t="n">
        <v>2024</v>
      </c>
      <c r="C872" s="14" t="n">
        <v>12</v>
      </c>
      <c r="D872" s="14" t="s">
        <v>61</v>
      </c>
      <c r="E872" s="15" t="n">
        <v>92076.63</v>
      </c>
      <c r="F872" s="15" t="n">
        <v>99823.7</v>
      </c>
      <c r="G872" s="16" t="n">
        <f aca="false">ROUND(E872+F872,2)</f>
        <v>191900.33</v>
      </c>
    </row>
    <row r="873" customFormat="false" ht="15" hidden="false" customHeight="false" outlineLevel="0" collapsed="false">
      <c r="A873" s="14" t="s">
        <v>36</v>
      </c>
      <c r="B873" s="14" t="n">
        <v>2025</v>
      </c>
      <c r="C873" s="14" t="n">
        <v>1</v>
      </c>
      <c r="D873" s="14" t="s">
        <v>50</v>
      </c>
      <c r="E873" s="15" t="n">
        <v>121245.48</v>
      </c>
      <c r="F873" s="15" t="n">
        <v>124816.87</v>
      </c>
      <c r="G873" s="16" t="n">
        <f aca="false">ROUND(E873+F873,2)</f>
        <v>246062.35</v>
      </c>
    </row>
    <row r="874" customFormat="false" ht="15" hidden="false" customHeight="false" outlineLevel="0" collapsed="false">
      <c r="A874" s="14" t="s">
        <v>36</v>
      </c>
      <c r="B874" s="14" t="n">
        <v>2025</v>
      </c>
      <c r="C874" s="14" t="n">
        <v>2</v>
      </c>
      <c r="D874" s="14" t="s">
        <v>51</v>
      </c>
      <c r="E874" s="15" t="n">
        <v>113928.38</v>
      </c>
      <c r="F874" s="15" t="n">
        <v>93804.02</v>
      </c>
      <c r="G874" s="16" t="n">
        <f aca="false">ROUND(E874+F874,2)</f>
        <v>207732.4</v>
      </c>
    </row>
    <row r="875" customFormat="false" ht="15" hidden="false" customHeight="false" outlineLevel="0" collapsed="false">
      <c r="A875" s="14" t="s">
        <v>36</v>
      </c>
      <c r="B875" s="14" t="n">
        <v>2025</v>
      </c>
      <c r="C875" s="14" t="n">
        <v>3</v>
      </c>
      <c r="D875" s="14" t="s">
        <v>52</v>
      </c>
      <c r="E875" s="15" t="n">
        <v>119209.34</v>
      </c>
      <c r="F875" s="15" t="n">
        <v>99730.27</v>
      </c>
      <c r="G875" s="16" t="n">
        <f aca="false">ROUND(E875+F875,2)</f>
        <v>218939.61</v>
      </c>
    </row>
    <row r="876" customFormat="false" ht="15" hidden="false" customHeight="false" outlineLevel="0" collapsed="false">
      <c r="A876" s="14" t="s">
        <v>36</v>
      </c>
      <c r="B876" s="14" t="n">
        <v>2025</v>
      </c>
      <c r="C876" s="14" t="n">
        <v>4</v>
      </c>
      <c r="D876" s="14" t="s">
        <v>53</v>
      </c>
      <c r="E876" s="15" t="n">
        <v>128224.83</v>
      </c>
      <c r="F876" s="15" t="n">
        <v>108477.44</v>
      </c>
      <c r="G876" s="16" t="n">
        <f aca="false">ROUND(E876+F876,2)</f>
        <v>236702.27</v>
      </c>
    </row>
    <row r="877" customFormat="false" ht="15" hidden="false" customHeight="false" outlineLevel="0" collapsed="false">
      <c r="A877" s="14" t="s">
        <v>36</v>
      </c>
      <c r="B877" s="14" t="n">
        <v>2025</v>
      </c>
      <c r="C877" s="14" t="n">
        <v>5</v>
      </c>
      <c r="D877" s="14" t="s">
        <v>54</v>
      </c>
      <c r="E877" s="15" t="n">
        <v>136494.92</v>
      </c>
      <c r="F877" s="15" t="n">
        <v>142761.56</v>
      </c>
      <c r="G877" s="16" t="n">
        <f aca="false">ROUND(E877+F877,2)</f>
        <v>279256.48</v>
      </c>
    </row>
    <row r="878" customFormat="false" ht="15" hidden="false" customHeight="false" outlineLevel="0" collapsed="false">
      <c r="A878" s="14" t="s">
        <v>36</v>
      </c>
      <c r="B878" s="14" t="n">
        <v>2025</v>
      </c>
      <c r="C878" s="14" t="n">
        <v>6</v>
      </c>
      <c r="D878" s="14" t="s">
        <v>55</v>
      </c>
      <c r="E878" s="15" t="n">
        <v>151095.11</v>
      </c>
      <c r="F878" s="15" t="n">
        <v>109804.29</v>
      </c>
      <c r="G878" s="16" t="n">
        <f aca="false">ROUND(E878+F878,2)</f>
        <v>260899.4</v>
      </c>
    </row>
    <row r="879" customFormat="false" ht="15" hidden="false" customHeight="false" outlineLevel="0" collapsed="false">
      <c r="A879" s="14" t="s">
        <v>36</v>
      </c>
      <c r="B879" s="14" t="n">
        <v>2025</v>
      </c>
      <c r="C879" s="14" t="n">
        <v>7</v>
      </c>
      <c r="D879" s="14" t="s">
        <v>56</v>
      </c>
      <c r="E879" s="15" t="n">
        <v>142830.91</v>
      </c>
      <c r="F879" s="15" t="n">
        <v>120024.28</v>
      </c>
      <c r="G879" s="16" t="n">
        <f aca="false">ROUND(E879+F879,2)</f>
        <v>262855.19</v>
      </c>
    </row>
    <row r="880" customFormat="false" ht="15" hidden="false" customHeight="false" outlineLevel="0" collapsed="false">
      <c r="A880" s="14" t="s">
        <v>36</v>
      </c>
      <c r="B880" s="14" t="n">
        <v>2025</v>
      </c>
      <c r="C880" s="14" t="n">
        <v>8</v>
      </c>
      <c r="D880" s="14" t="s">
        <v>57</v>
      </c>
      <c r="E880" s="15" t="n">
        <v>93867.8</v>
      </c>
      <c r="F880" s="15" t="n">
        <v>128308.9</v>
      </c>
      <c r="G880" s="16" t="n">
        <f aca="false">ROUND(E880+F880,2)</f>
        <v>222176.7</v>
      </c>
    </row>
    <row r="881" customFormat="false" ht="15" hidden="false" customHeight="false" outlineLevel="0" collapsed="false">
      <c r="A881" s="14" t="s">
        <v>36</v>
      </c>
      <c r="B881" s="14" t="n">
        <v>2025</v>
      </c>
      <c r="C881" s="14" t="n">
        <v>9</v>
      </c>
      <c r="D881" s="14" t="s">
        <v>58</v>
      </c>
      <c r="E881" s="15" t="n">
        <v>136634.43</v>
      </c>
      <c r="F881" s="15" t="n">
        <v>125710.97</v>
      </c>
      <c r="G881" s="16" t="n">
        <f aca="false">ROUND(E881+F881,2)</f>
        <v>262345.4</v>
      </c>
    </row>
    <row r="882" customFormat="false" ht="15" hidden="false" customHeight="false" outlineLevel="0" collapsed="false">
      <c r="A882" s="14" t="s">
        <v>36</v>
      </c>
      <c r="B882" s="14" t="n">
        <v>2025</v>
      </c>
      <c r="C882" s="14" t="n">
        <v>10</v>
      </c>
      <c r="D882" s="14" t="s">
        <v>59</v>
      </c>
      <c r="E882" s="15" t="n">
        <v>127806.4</v>
      </c>
      <c r="F882" s="15" t="n">
        <v>124627.63</v>
      </c>
      <c r="G882" s="16" t="n">
        <f aca="false">ROUND(E882+F882,2)</f>
        <v>252434.03</v>
      </c>
    </row>
    <row r="883" customFormat="false" ht="15" hidden="false" customHeight="false" outlineLevel="0" collapsed="false">
      <c r="A883" s="14" t="s">
        <v>36</v>
      </c>
      <c r="B883" s="14" t="n">
        <v>2025</v>
      </c>
      <c r="C883" s="14" t="n">
        <v>11</v>
      </c>
      <c r="D883" s="14" t="s">
        <v>60</v>
      </c>
      <c r="E883" s="15" t="n">
        <v>109994.09</v>
      </c>
      <c r="F883" s="15" t="n">
        <v>70258.58</v>
      </c>
      <c r="G883" s="16" t="n">
        <f aca="false">ROUND(E883+F883,2)</f>
        <v>180252.67</v>
      </c>
    </row>
    <row r="884" customFormat="false" ht="15" hidden="false" customHeight="false" outlineLevel="0" collapsed="false">
      <c r="A884" s="14" t="s">
        <v>36</v>
      </c>
      <c r="B884" s="14" t="n">
        <v>2025</v>
      </c>
      <c r="C884" s="14" t="n">
        <v>12</v>
      </c>
      <c r="D884" s="14" t="s">
        <v>61</v>
      </c>
      <c r="E884" s="15" t="n">
        <v>152292.26</v>
      </c>
      <c r="F884" s="15" t="n">
        <v>93725.82</v>
      </c>
      <c r="G884" s="16" t="n">
        <f aca="false">ROUND(E884+F884,2)</f>
        <v>246018.08</v>
      </c>
    </row>
    <row r="885" customFormat="false" ht="15" hidden="false" customHeight="false" outlineLevel="0" collapsed="false">
      <c r="A885" s="14" t="s">
        <v>36</v>
      </c>
      <c r="B885" s="14" t="n">
        <v>2026</v>
      </c>
      <c r="C885" s="14" t="n">
        <v>1</v>
      </c>
      <c r="D885" s="14" t="s">
        <v>50</v>
      </c>
      <c r="E885" s="15" t="n">
        <v>154644.19</v>
      </c>
      <c r="F885" s="15" t="n">
        <v>96449.16</v>
      </c>
      <c r="G885" s="16" t="n">
        <f aca="false">ROUND(E885+F885,2)</f>
        <v>251093.35</v>
      </c>
    </row>
    <row r="886" customFormat="false" ht="15" hidden="false" customHeight="false" outlineLevel="0" collapsed="false">
      <c r="A886" s="14" t="s">
        <v>36</v>
      </c>
      <c r="B886" s="14" t="n">
        <v>2026</v>
      </c>
      <c r="C886" s="14" t="n">
        <v>2</v>
      </c>
      <c r="D886" s="14" t="s">
        <v>51</v>
      </c>
      <c r="E886" s="15" t="n">
        <v>143432.3</v>
      </c>
      <c r="F886" s="15" t="n">
        <v>70961.75</v>
      </c>
      <c r="G886" s="16" t="n">
        <f aca="false">ROUND(E886+F886,2)</f>
        <v>214394.05</v>
      </c>
    </row>
    <row r="887" customFormat="false" ht="15" hidden="false" customHeight="false" outlineLevel="0" collapsed="false">
      <c r="A887" s="14" t="s">
        <v>36</v>
      </c>
      <c r="B887" s="14" t="n">
        <v>2026</v>
      </c>
      <c r="C887" s="14" t="n">
        <v>3</v>
      </c>
      <c r="D887" s="14" t="s">
        <v>52</v>
      </c>
      <c r="E887" s="15" t="n">
        <v>170167.88</v>
      </c>
      <c r="F887" s="15" t="n">
        <v>91530.65</v>
      </c>
      <c r="G887" s="16" t="n">
        <f aca="false">ROUND(E887+F887,2)</f>
        <v>261698.53</v>
      </c>
    </row>
    <row r="888" customFormat="false" ht="15" hidden="false" customHeight="false" outlineLevel="0" collapsed="false">
      <c r="A888" s="14" t="s">
        <v>36</v>
      </c>
      <c r="B888" s="14" t="n">
        <v>2026</v>
      </c>
      <c r="C888" s="14" t="n">
        <v>4</v>
      </c>
      <c r="D888" s="14" t="s">
        <v>53</v>
      </c>
      <c r="E888" s="15" t="n">
        <v>169885.52</v>
      </c>
      <c r="F888" s="15" t="n">
        <v>103342.66</v>
      </c>
      <c r="G888" s="16" t="n">
        <f aca="false">ROUND(E888+F888,2)</f>
        <v>273228.18</v>
      </c>
    </row>
    <row r="889" customFormat="false" ht="15" hidden="false" customHeight="false" outlineLevel="0" collapsed="false">
      <c r="A889" s="14" t="s">
        <v>36</v>
      </c>
      <c r="B889" s="14" t="n">
        <v>2026</v>
      </c>
      <c r="C889" s="14" t="n">
        <v>5</v>
      </c>
      <c r="D889" s="14" t="s">
        <v>54</v>
      </c>
      <c r="E889" s="15" t="n">
        <v>143686.51</v>
      </c>
      <c r="F889" s="15" t="n">
        <v>94616.02</v>
      </c>
      <c r="G889" s="16" t="n">
        <f aca="false">ROUND(E889+F889,2)</f>
        <v>238302.53</v>
      </c>
    </row>
    <row r="890" customFormat="false" ht="15" hidden="false" customHeight="false" outlineLevel="0" collapsed="false">
      <c r="A890" s="14" t="s">
        <v>36</v>
      </c>
      <c r="B890" s="14" t="n">
        <v>2026</v>
      </c>
      <c r="C890" s="14" t="n">
        <v>6</v>
      </c>
      <c r="D890" s="14" t="s">
        <v>55</v>
      </c>
      <c r="E890" s="15" t="n">
        <v>158003.55</v>
      </c>
      <c r="F890" s="15" t="n">
        <v>86731.08</v>
      </c>
      <c r="G890" s="16" t="n">
        <f aca="false">ROUND(E890+F890,2)</f>
        <v>244734.63</v>
      </c>
    </row>
    <row r="891" customFormat="false" ht="15" hidden="false" customHeight="false" outlineLevel="0" collapsed="false">
      <c r="A891" s="14" t="s">
        <v>36</v>
      </c>
      <c r="B891" s="14" t="n">
        <v>2026</v>
      </c>
      <c r="C891" s="14" t="n">
        <v>7</v>
      </c>
      <c r="D891" s="14" t="s">
        <v>56</v>
      </c>
      <c r="E891" s="15" t="n">
        <v>172735.07</v>
      </c>
      <c r="F891" s="15" t="n">
        <v>76610.72</v>
      </c>
      <c r="G891" s="16" t="n">
        <f aca="false">ROUND(E891+F891,2)</f>
        <v>249345.79</v>
      </c>
    </row>
    <row r="892" customFormat="false" ht="15" hidden="false" customHeight="false" outlineLevel="0" collapsed="false">
      <c r="A892" s="14" t="s">
        <v>42</v>
      </c>
      <c r="B892" s="14" t="n">
        <v>2025</v>
      </c>
      <c r="C892" s="14" t="n">
        <v>1</v>
      </c>
      <c r="D892" s="14" t="s">
        <v>50</v>
      </c>
      <c r="E892" s="15" t="n">
        <v>0</v>
      </c>
      <c r="F892" s="15" t="n">
        <v>0</v>
      </c>
      <c r="G892" s="16" t="n">
        <f aca="false">ROUND(E892+F892,2)</f>
        <v>0</v>
      </c>
    </row>
    <row r="893" customFormat="false" ht="15" hidden="false" customHeight="false" outlineLevel="0" collapsed="false">
      <c r="A893" s="14" t="s">
        <v>42</v>
      </c>
      <c r="B893" s="14" t="n">
        <v>2025</v>
      </c>
      <c r="C893" s="14" t="n">
        <v>2</v>
      </c>
      <c r="D893" s="14" t="s">
        <v>51</v>
      </c>
      <c r="E893" s="15" t="n">
        <v>0</v>
      </c>
      <c r="F893" s="15" t="n">
        <v>0</v>
      </c>
      <c r="G893" s="16" t="n">
        <f aca="false">ROUND(E893+F893,2)</f>
        <v>0</v>
      </c>
    </row>
    <row r="894" customFormat="false" ht="15" hidden="false" customHeight="false" outlineLevel="0" collapsed="false">
      <c r="A894" s="14" t="s">
        <v>42</v>
      </c>
      <c r="B894" s="14" t="n">
        <v>2025</v>
      </c>
      <c r="C894" s="14" t="n">
        <v>3</v>
      </c>
      <c r="D894" s="14" t="s">
        <v>52</v>
      </c>
      <c r="E894" s="15" t="n">
        <v>0</v>
      </c>
      <c r="F894" s="15" t="n">
        <v>0</v>
      </c>
      <c r="G894" s="16" t="n">
        <f aca="false">ROUND(E894+F894,2)</f>
        <v>0</v>
      </c>
    </row>
    <row r="895" customFormat="false" ht="15" hidden="false" customHeight="false" outlineLevel="0" collapsed="false">
      <c r="A895" s="14" t="s">
        <v>42</v>
      </c>
      <c r="B895" s="14" t="n">
        <v>2025</v>
      </c>
      <c r="C895" s="14" t="n">
        <v>4</v>
      </c>
      <c r="D895" s="14" t="s">
        <v>53</v>
      </c>
      <c r="E895" s="15" t="n">
        <v>0</v>
      </c>
      <c r="F895" s="15" t="n">
        <v>0</v>
      </c>
      <c r="G895" s="16" t="n">
        <f aca="false">ROUND(E895+F895,2)</f>
        <v>0</v>
      </c>
    </row>
    <row r="896" customFormat="false" ht="15" hidden="false" customHeight="false" outlineLevel="0" collapsed="false">
      <c r="A896" s="14" t="s">
        <v>42</v>
      </c>
      <c r="B896" s="14" t="n">
        <v>2025</v>
      </c>
      <c r="C896" s="14" t="n">
        <v>5</v>
      </c>
      <c r="D896" s="14" t="s">
        <v>54</v>
      </c>
      <c r="E896" s="15" t="n">
        <v>0</v>
      </c>
      <c r="F896" s="15" t="n">
        <v>0</v>
      </c>
      <c r="G896" s="16" t="n">
        <f aca="false">ROUND(E896+F896,2)</f>
        <v>0</v>
      </c>
    </row>
    <row r="897" customFormat="false" ht="15" hidden="false" customHeight="false" outlineLevel="0" collapsed="false">
      <c r="A897" s="14" t="s">
        <v>42</v>
      </c>
      <c r="B897" s="14" t="n">
        <v>2025</v>
      </c>
      <c r="C897" s="14" t="n">
        <v>6</v>
      </c>
      <c r="D897" s="14" t="s">
        <v>55</v>
      </c>
      <c r="E897" s="15" t="n">
        <v>0</v>
      </c>
      <c r="F897" s="15" t="n">
        <v>0</v>
      </c>
      <c r="G897" s="16" t="n">
        <f aca="false">ROUND(E897+F897,2)</f>
        <v>0</v>
      </c>
    </row>
    <row r="898" customFormat="false" ht="15" hidden="false" customHeight="false" outlineLevel="0" collapsed="false">
      <c r="A898" s="14" t="s">
        <v>42</v>
      </c>
      <c r="B898" s="14" t="n">
        <v>2025</v>
      </c>
      <c r="C898" s="14" t="n">
        <v>7</v>
      </c>
      <c r="D898" s="14" t="s">
        <v>56</v>
      </c>
      <c r="E898" s="15" t="n">
        <v>0</v>
      </c>
      <c r="F898" s="15" t="n">
        <v>0</v>
      </c>
      <c r="G898" s="16" t="n">
        <f aca="false">ROUND(E898+F898,2)</f>
        <v>0</v>
      </c>
    </row>
    <row r="899" customFormat="false" ht="15" hidden="false" customHeight="false" outlineLevel="0" collapsed="false">
      <c r="A899" s="14" t="s">
        <v>42</v>
      </c>
      <c r="B899" s="14" t="n">
        <v>2025</v>
      </c>
      <c r="C899" s="14" t="n">
        <v>8</v>
      </c>
      <c r="D899" s="14" t="s">
        <v>57</v>
      </c>
      <c r="E899" s="15" t="n">
        <v>0</v>
      </c>
      <c r="F899" s="15" t="n">
        <v>0</v>
      </c>
      <c r="G899" s="16" t="n">
        <f aca="false">ROUND(E899+F899,2)</f>
        <v>0</v>
      </c>
    </row>
    <row r="900" customFormat="false" ht="15" hidden="false" customHeight="false" outlineLevel="0" collapsed="false">
      <c r="A900" s="14" t="s">
        <v>42</v>
      </c>
      <c r="B900" s="14" t="n">
        <v>2025</v>
      </c>
      <c r="C900" s="14" t="n">
        <v>9</v>
      </c>
      <c r="D900" s="14" t="s">
        <v>58</v>
      </c>
      <c r="E900" s="15" t="n">
        <v>0</v>
      </c>
      <c r="F900" s="15" t="n">
        <v>0</v>
      </c>
      <c r="G900" s="16" t="n">
        <f aca="false">ROUND(E900+F900,2)</f>
        <v>0</v>
      </c>
    </row>
    <row r="901" customFormat="false" ht="15" hidden="false" customHeight="false" outlineLevel="0" collapsed="false">
      <c r="A901" s="14" t="s">
        <v>42</v>
      </c>
      <c r="B901" s="14" t="n">
        <v>2025</v>
      </c>
      <c r="C901" s="14" t="n">
        <v>10</v>
      </c>
      <c r="D901" s="14" t="s">
        <v>59</v>
      </c>
      <c r="E901" s="15" t="n">
        <v>0</v>
      </c>
      <c r="F901" s="15" t="n">
        <v>0</v>
      </c>
      <c r="G901" s="16" t="n">
        <f aca="false">ROUND(E901+F901,2)</f>
        <v>0</v>
      </c>
    </row>
    <row r="902" customFormat="false" ht="15" hidden="false" customHeight="false" outlineLevel="0" collapsed="false">
      <c r="A902" s="14" t="s">
        <v>42</v>
      </c>
      <c r="B902" s="14" t="n">
        <v>2025</v>
      </c>
      <c r="C902" s="14" t="n">
        <v>11</v>
      </c>
      <c r="D902" s="14" t="s">
        <v>60</v>
      </c>
      <c r="E902" s="15" t="n">
        <v>41289.23</v>
      </c>
      <c r="F902" s="15" t="n">
        <v>8705.58</v>
      </c>
      <c r="G902" s="16" t="n">
        <f aca="false">ROUND(E902+F902,2)</f>
        <v>49994.81</v>
      </c>
    </row>
    <row r="903" customFormat="false" ht="15" hidden="false" customHeight="false" outlineLevel="0" collapsed="false">
      <c r="A903" s="14" t="s">
        <v>42</v>
      </c>
      <c r="B903" s="14" t="n">
        <v>2025</v>
      </c>
      <c r="C903" s="14" t="n">
        <v>12</v>
      </c>
      <c r="D903" s="14" t="s">
        <v>61</v>
      </c>
      <c r="E903" s="15" t="n">
        <v>34651.31</v>
      </c>
      <c r="F903" s="15" t="n">
        <v>7796.02</v>
      </c>
      <c r="G903" s="16" t="n">
        <f aca="false">ROUND(E903+F903,2)</f>
        <v>42447.33</v>
      </c>
    </row>
    <row r="904" customFormat="false" ht="15" hidden="false" customHeight="false" outlineLevel="0" collapsed="false">
      <c r="A904" s="14" t="s">
        <v>42</v>
      </c>
      <c r="B904" s="14" t="n">
        <v>2026</v>
      </c>
      <c r="C904" s="14" t="n">
        <v>1</v>
      </c>
      <c r="D904" s="14" t="s">
        <v>50</v>
      </c>
      <c r="E904" s="15" t="n">
        <v>35356.9</v>
      </c>
      <c r="F904" s="15" t="n">
        <v>10033.52</v>
      </c>
      <c r="G904" s="16" t="n">
        <f aca="false">ROUND(E904+F904,2)</f>
        <v>45390.42</v>
      </c>
    </row>
    <row r="905" customFormat="false" ht="15" hidden="false" customHeight="false" outlineLevel="0" collapsed="false">
      <c r="A905" s="14" t="s">
        <v>42</v>
      </c>
      <c r="B905" s="14" t="n">
        <v>2026</v>
      </c>
      <c r="C905" s="14" t="n">
        <v>2</v>
      </c>
      <c r="D905" s="14" t="s">
        <v>51</v>
      </c>
      <c r="E905" s="15" t="n">
        <v>34531.49</v>
      </c>
      <c r="F905" s="15" t="n">
        <v>10124.41</v>
      </c>
      <c r="G905" s="16" t="n">
        <f aca="false">ROUND(E905+F905,2)</f>
        <v>44655.9</v>
      </c>
    </row>
    <row r="906" customFormat="false" ht="15" hidden="false" customHeight="false" outlineLevel="0" collapsed="false">
      <c r="A906" s="14" t="s">
        <v>42</v>
      </c>
      <c r="B906" s="14" t="n">
        <v>2026</v>
      </c>
      <c r="C906" s="14" t="n">
        <v>3</v>
      </c>
      <c r="D906" s="14" t="s">
        <v>52</v>
      </c>
      <c r="E906" s="15" t="n">
        <v>27177.36</v>
      </c>
      <c r="F906" s="15" t="n">
        <v>9904.54</v>
      </c>
      <c r="G906" s="16" t="n">
        <f aca="false">ROUND(E906+F906,2)</f>
        <v>37081.9</v>
      </c>
    </row>
    <row r="907" customFormat="false" ht="15" hidden="false" customHeight="false" outlineLevel="0" collapsed="false">
      <c r="A907" s="14" t="s">
        <v>42</v>
      </c>
      <c r="B907" s="14" t="n">
        <v>2026</v>
      </c>
      <c r="C907" s="14" t="n">
        <v>4</v>
      </c>
      <c r="D907" s="14" t="s">
        <v>53</v>
      </c>
      <c r="E907" s="15" t="n">
        <v>26636.11</v>
      </c>
      <c r="F907" s="15" t="n">
        <v>10737.05</v>
      </c>
      <c r="G907" s="16" t="n">
        <f aca="false">ROUND(E907+F907,2)</f>
        <v>37373.16</v>
      </c>
    </row>
    <row r="908" customFormat="false" ht="15" hidden="false" customHeight="false" outlineLevel="0" collapsed="false">
      <c r="A908" s="14" t="s">
        <v>42</v>
      </c>
      <c r="B908" s="14" t="n">
        <v>2026</v>
      </c>
      <c r="C908" s="14" t="n">
        <v>5</v>
      </c>
      <c r="D908" s="14" t="s">
        <v>54</v>
      </c>
      <c r="E908" s="15" t="n">
        <v>30000.18</v>
      </c>
      <c r="F908" s="15" t="n">
        <v>12499.41</v>
      </c>
      <c r="G908" s="16" t="n">
        <f aca="false">ROUND(E908+F908,2)</f>
        <v>42499.59</v>
      </c>
    </row>
    <row r="909" customFormat="false" ht="15" hidden="false" customHeight="false" outlineLevel="0" collapsed="false">
      <c r="A909" s="14" t="s">
        <v>42</v>
      </c>
      <c r="B909" s="14" t="n">
        <v>2026</v>
      </c>
      <c r="C909" s="14" t="n">
        <v>6</v>
      </c>
      <c r="D909" s="14" t="s">
        <v>55</v>
      </c>
      <c r="E909" s="15" t="n">
        <v>25132.35</v>
      </c>
      <c r="F909" s="15" t="n">
        <v>7810.27</v>
      </c>
      <c r="G909" s="16" t="n">
        <f aca="false">ROUND(E909+F909,2)</f>
        <v>32942.62</v>
      </c>
    </row>
    <row r="910" customFormat="false" ht="15" hidden="false" customHeight="false" outlineLevel="0" collapsed="false">
      <c r="A910" s="14" t="s">
        <v>42</v>
      </c>
      <c r="B910" s="14" t="n">
        <v>2026</v>
      </c>
      <c r="C910" s="14" t="n">
        <v>7</v>
      </c>
      <c r="D910" s="14" t="s">
        <v>56</v>
      </c>
      <c r="E910" s="15" t="n">
        <v>21256.98</v>
      </c>
      <c r="F910" s="15" t="n">
        <v>10622.9</v>
      </c>
      <c r="G910" s="16" t="n">
        <f aca="false">ROUND(E910+F910,2)</f>
        <v>31879.88</v>
      </c>
    </row>
    <row r="911" customFormat="false" ht="15" hidden="false" customHeight="false" outlineLevel="0" collapsed="false">
      <c r="A911" s="14" t="s">
        <v>16</v>
      </c>
      <c r="B911" s="14" t="n">
        <v>2021</v>
      </c>
      <c r="C911" s="14" t="n">
        <v>1</v>
      </c>
      <c r="D911" s="14" t="s">
        <v>50</v>
      </c>
      <c r="E911" s="15" t="n">
        <v>153264.94</v>
      </c>
      <c r="F911" s="15" t="n">
        <v>113101.5</v>
      </c>
      <c r="G911" s="16" t="n">
        <f aca="false">ROUND(E911+F911,2)</f>
        <v>266366.44</v>
      </c>
    </row>
    <row r="912" customFormat="false" ht="15" hidden="false" customHeight="false" outlineLevel="0" collapsed="false">
      <c r="A912" s="14" t="s">
        <v>16</v>
      </c>
      <c r="B912" s="14" t="n">
        <v>2021</v>
      </c>
      <c r="C912" s="14" t="n">
        <v>2</v>
      </c>
      <c r="D912" s="14" t="s">
        <v>51</v>
      </c>
      <c r="E912" s="15" t="n">
        <v>138311.09</v>
      </c>
      <c r="F912" s="15" t="n">
        <v>99356.54</v>
      </c>
      <c r="G912" s="16" t="n">
        <f aca="false">ROUND(E912+F912,2)</f>
        <v>237667.63</v>
      </c>
    </row>
    <row r="913" customFormat="false" ht="15" hidden="false" customHeight="false" outlineLevel="0" collapsed="false">
      <c r="A913" s="14" t="s">
        <v>16</v>
      </c>
      <c r="B913" s="14" t="n">
        <v>2021</v>
      </c>
      <c r="C913" s="14" t="n">
        <v>3</v>
      </c>
      <c r="D913" s="14" t="s">
        <v>52</v>
      </c>
      <c r="E913" s="15" t="n">
        <v>179720.69</v>
      </c>
      <c r="F913" s="15" t="n">
        <v>126234.34</v>
      </c>
      <c r="G913" s="16" t="n">
        <f aca="false">ROUND(E913+F913,2)</f>
        <v>305955.03</v>
      </c>
    </row>
    <row r="914" customFormat="false" ht="15" hidden="false" customHeight="false" outlineLevel="0" collapsed="false">
      <c r="A914" s="14" t="s">
        <v>16</v>
      </c>
      <c r="B914" s="14" t="n">
        <v>2021</v>
      </c>
      <c r="C914" s="14" t="n">
        <v>4</v>
      </c>
      <c r="D914" s="14" t="s">
        <v>53</v>
      </c>
      <c r="E914" s="15" t="n">
        <v>184282.34</v>
      </c>
      <c r="F914" s="15" t="n">
        <v>137135.23</v>
      </c>
      <c r="G914" s="16" t="n">
        <f aca="false">ROUND(E914+F914,2)</f>
        <v>321417.57</v>
      </c>
    </row>
    <row r="915" customFormat="false" ht="15" hidden="false" customHeight="false" outlineLevel="0" collapsed="false">
      <c r="A915" s="14" t="s">
        <v>16</v>
      </c>
      <c r="B915" s="14" t="n">
        <v>2021</v>
      </c>
      <c r="C915" s="14" t="n">
        <v>5</v>
      </c>
      <c r="D915" s="14" t="s">
        <v>54</v>
      </c>
      <c r="E915" s="15" t="n">
        <v>203847.04</v>
      </c>
      <c r="F915" s="15" t="n">
        <v>138636.01</v>
      </c>
      <c r="G915" s="16" t="n">
        <f aca="false">ROUND(E915+F915,2)</f>
        <v>342483.05</v>
      </c>
    </row>
    <row r="916" customFormat="false" ht="15" hidden="false" customHeight="false" outlineLevel="0" collapsed="false">
      <c r="A916" s="14" t="s">
        <v>16</v>
      </c>
      <c r="B916" s="14" t="n">
        <v>2021</v>
      </c>
      <c r="C916" s="14" t="n">
        <v>6</v>
      </c>
      <c r="D916" s="14" t="s">
        <v>55</v>
      </c>
      <c r="E916" s="15" t="n">
        <v>185759.88</v>
      </c>
      <c r="F916" s="15" t="n">
        <v>132078.95</v>
      </c>
      <c r="G916" s="16" t="n">
        <f aca="false">ROUND(E916+F916,2)</f>
        <v>317838.83</v>
      </c>
    </row>
    <row r="917" customFormat="false" ht="15" hidden="false" customHeight="false" outlineLevel="0" collapsed="false">
      <c r="A917" s="14" t="s">
        <v>16</v>
      </c>
      <c r="B917" s="14" t="n">
        <v>2021</v>
      </c>
      <c r="C917" s="14" t="n">
        <v>7</v>
      </c>
      <c r="D917" s="14" t="s">
        <v>56</v>
      </c>
      <c r="E917" s="15" t="n">
        <v>201020.3</v>
      </c>
      <c r="F917" s="15" t="n">
        <v>141575.69</v>
      </c>
      <c r="G917" s="16" t="n">
        <f aca="false">ROUND(E917+F917,2)</f>
        <v>342595.99</v>
      </c>
    </row>
    <row r="918" customFormat="false" ht="15" hidden="false" customHeight="false" outlineLevel="0" collapsed="false">
      <c r="A918" s="14" t="s">
        <v>16</v>
      </c>
      <c r="B918" s="14" t="n">
        <v>2021</v>
      </c>
      <c r="C918" s="14" t="n">
        <v>8</v>
      </c>
      <c r="D918" s="14" t="s">
        <v>57</v>
      </c>
      <c r="E918" s="15" t="n">
        <v>159117.25</v>
      </c>
      <c r="F918" s="15" t="n">
        <v>147756.84</v>
      </c>
      <c r="G918" s="16" t="n">
        <f aca="false">ROUND(E918+F918,2)</f>
        <v>306874.09</v>
      </c>
    </row>
    <row r="919" customFormat="false" ht="15" hidden="false" customHeight="false" outlineLevel="0" collapsed="false">
      <c r="A919" s="14" t="s">
        <v>16</v>
      </c>
      <c r="B919" s="14" t="n">
        <v>2021</v>
      </c>
      <c r="C919" s="14" t="n">
        <v>9</v>
      </c>
      <c r="D919" s="14" t="s">
        <v>58</v>
      </c>
      <c r="E919" s="15" t="n">
        <v>163059.93</v>
      </c>
      <c r="F919" s="15" t="n">
        <v>136016.43</v>
      </c>
      <c r="G919" s="16" t="n">
        <f aca="false">ROUND(E919+F919,2)</f>
        <v>299076.36</v>
      </c>
    </row>
    <row r="920" customFormat="false" ht="15" hidden="false" customHeight="false" outlineLevel="0" collapsed="false">
      <c r="A920" s="14" t="s">
        <v>16</v>
      </c>
      <c r="B920" s="14" t="n">
        <v>2021</v>
      </c>
      <c r="C920" s="14" t="n">
        <v>10</v>
      </c>
      <c r="D920" s="14" t="s">
        <v>59</v>
      </c>
      <c r="E920" s="15" t="n">
        <v>161545.3</v>
      </c>
      <c r="F920" s="15" t="n">
        <v>142996.13</v>
      </c>
      <c r="G920" s="16" t="n">
        <f aca="false">ROUND(E920+F920,2)</f>
        <v>304541.43</v>
      </c>
    </row>
    <row r="921" customFormat="false" ht="15" hidden="false" customHeight="false" outlineLevel="0" collapsed="false">
      <c r="A921" s="14" t="s">
        <v>16</v>
      </c>
      <c r="B921" s="14" t="n">
        <v>2021</v>
      </c>
      <c r="C921" s="14" t="n">
        <v>11</v>
      </c>
      <c r="D921" s="14" t="s">
        <v>60</v>
      </c>
      <c r="E921" s="15" t="n">
        <v>151869.51</v>
      </c>
      <c r="F921" s="15" t="n">
        <v>116229.25</v>
      </c>
      <c r="G921" s="16" t="n">
        <f aca="false">ROUND(E921+F921,2)</f>
        <v>268098.76</v>
      </c>
    </row>
    <row r="922" customFormat="false" ht="15" hidden="false" customHeight="false" outlineLevel="0" collapsed="false">
      <c r="A922" s="14" t="s">
        <v>16</v>
      </c>
      <c r="B922" s="14" t="n">
        <v>2021</v>
      </c>
      <c r="C922" s="14" t="n">
        <v>12</v>
      </c>
      <c r="D922" s="14" t="s">
        <v>61</v>
      </c>
      <c r="E922" s="15" t="n">
        <v>161014.75</v>
      </c>
      <c r="F922" s="15" t="n">
        <v>131312.38</v>
      </c>
      <c r="G922" s="16" t="n">
        <f aca="false">ROUND(E922+F922,2)</f>
        <v>292327.13</v>
      </c>
    </row>
    <row r="923" customFormat="false" ht="15" hidden="false" customHeight="false" outlineLevel="0" collapsed="false">
      <c r="A923" s="14" t="s">
        <v>16</v>
      </c>
      <c r="B923" s="14" t="n">
        <v>2022</v>
      </c>
      <c r="C923" s="14" t="n">
        <v>1</v>
      </c>
      <c r="D923" s="14" t="s">
        <v>50</v>
      </c>
      <c r="E923" s="15" t="n">
        <v>161408.23</v>
      </c>
      <c r="F923" s="15" t="n">
        <v>141006.47</v>
      </c>
      <c r="G923" s="16" t="n">
        <f aca="false">ROUND(E923+F923,2)</f>
        <v>302414.7</v>
      </c>
    </row>
    <row r="924" customFormat="false" ht="15" hidden="false" customHeight="false" outlineLevel="0" collapsed="false">
      <c r="A924" s="14" t="s">
        <v>16</v>
      </c>
      <c r="B924" s="14" t="n">
        <v>2022</v>
      </c>
      <c r="C924" s="14" t="n">
        <v>2</v>
      </c>
      <c r="D924" s="14" t="s">
        <v>51</v>
      </c>
      <c r="E924" s="15" t="n">
        <v>149850.06</v>
      </c>
      <c r="F924" s="15" t="n">
        <v>131219.14</v>
      </c>
      <c r="G924" s="16" t="n">
        <f aca="false">ROUND(E924+F924,2)</f>
        <v>281069.2</v>
      </c>
    </row>
    <row r="925" customFormat="false" ht="15" hidden="false" customHeight="false" outlineLevel="0" collapsed="false">
      <c r="A925" s="14" t="s">
        <v>16</v>
      </c>
      <c r="B925" s="14" t="n">
        <v>2022</v>
      </c>
      <c r="C925" s="14" t="n">
        <v>3</v>
      </c>
      <c r="D925" s="14" t="s">
        <v>52</v>
      </c>
      <c r="E925" s="15" t="n">
        <v>197896.73</v>
      </c>
      <c r="F925" s="15" t="n">
        <v>156944.72</v>
      </c>
      <c r="G925" s="16" t="n">
        <f aca="false">ROUND(E925+F925,2)</f>
        <v>354841.45</v>
      </c>
    </row>
    <row r="926" customFormat="false" ht="15" hidden="false" customHeight="false" outlineLevel="0" collapsed="false">
      <c r="A926" s="14" t="s">
        <v>16</v>
      </c>
      <c r="B926" s="14" t="n">
        <v>2022</v>
      </c>
      <c r="C926" s="14" t="n">
        <v>4</v>
      </c>
      <c r="D926" s="14" t="s">
        <v>53</v>
      </c>
      <c r="E926" s="15" t="n">
        <v>193391.35</v>
      </c>
      <c r="F926" s="15" t="n">
        <v>192831.5</v>
      </c>
      <c r="G926" s="16" t="n">
        <f aca="false">ROUND(E926+F926,2)</f>
        <v>386222.85</v>
      </c>
    </row>
    <row r="927" customFormat="false" ht="15" hidden="false" customHeight="false" outlineLevel="0" collapsed="false">
      <c r="A927" s="14" t="s">
        <v>16</v>
      </c>
      <c r="B927" s="14" t="n">
        <v>2022</v>
      </c>
      <c r="C927" s="14" t="n">
        <v>5</v>
      </c>
      <c r="D927" s="14" t="s">
        <v>54</v>
      </c>
      <c r="E927" s="15" t="n">
        <v>176058.49</v>
      </c>
      <c r="F927" s="15" t="n">
        <v>168084.41</v>
      </c>
      <c r="G927" s="16" t="n">
        <f aca="false">ROUND(E927+F927,2)</f>
        <v>344142.9</v>
      </c>
    </row>
    <row r="928" customFormat="false" ht="15" hidden="false" customHeight="false" outlineLevel="0" collapsed="false">
      <c r="A928" s="14" t="s">
        <v>16</v>
      </c>
      <c r="B928" s="14" t="n">
        <v>2022</v>
      </c>
      <c r="C928" s="14" t="n">
        <v>6</v>
      </c>
      <c r="D928" s="14" t="s">
        <v>55</v>
      </c>
      <c r="E928" s="15" t="n">
        <v>199423.85</v>
      </c>
      <c r="F928" s="15" t="n">
        <v>170487.38</v>
      </c>
      <c r="G928" s="16" t="n">
        <f aca="false">ROUND(E928+F928,2)</f>
        <v>369911.23</v>
      </c>
    </row>
    <row r="929" customFormat="false" ht="15" hidden="false" customHeight="false" outlineLevel="0" collapsed="false">
      <c r="A929" s="14" t="s">
        <v>16</v>
      </c>
      <c r="B929" s="14" t="n">
        <v>2022</v>
      </c>
      <c r="C929" s="14" t="n">
        <v>7</v>
      </c>
      <c r="D929" s="14" t="s">
        <v>56</v>
      </c>
      <c r="E929" s="15" t="n">
        <v>202400.49</v>
      </c>
      <c r="F929" s="15" t="n">
        <v>169356.3</v>
      </c>
      <c r="G929" s="16" t="n">
        <f aca="false">ROUND(E929+F929,2)</f>
        <v>371756.79</v>
      </c>
    </row>
    <row r="930" customFormat="false" ht="15" hidden="false" customHeight="false" outlineLevel="0" collapsed="false">
      <c r="A930" s="14" t="s">
        <v>16</v>
      </c>
      <c r="B930" s="14" t="n">
        <v>2022</v>
      </c>
      <c r="C930" s="14" t="n">
        <v>8</v>
      </c>
      <c r="D930" s="14" t="s">
        <v>57</v>
      </c>
      <c r="E930" s="15" t="n">
        <v>217759.74</v>
      </c>
      <c r="F930" s="15" t="n">
        <v>171167.59</v>
      </c>
      <c r="G930" s="16" t="n">
        <f aca="false">ROUND(E930+F930,2)</f>
        <v>388927.33</v>
      </c>
    </row>
    <row r="931" customFormat="false" ht="15" hidden="false" customHeight="false" outlineLevel="0" collapsed="false">
      <c r="A931" s="14" t="s">
        <v>16</v>
      </c>
      <c r="B931" s="14" t="n">
        <v>2022</v>
      </c>
      <c r="C931" s="14" t="n">
        <v>9</v>
      </c>
      <c r="D931" s="14" t="s">
        <v>58</v>
      </c>
      <c r="E931" s="15" t="n">
        <v>181642.37</v>
      </c>
      <c r="F931" s="15" t="n">
        <v>177421.54</v>
      </c>
      <c r="G931" s="16" t="n">
        <f aca="false">ROUND(E931+F931,2)</f>
        <v>359063.91</v>
      </c>
    </row>
    <row r="932" customFormat="false" ht="15" hidden="false" customHeight="false" outlineLevel="0" collapsed="false">
      <c r="A932" s="14" t="s">
        <v>16</v>
      </c>
      <c r="B932" s="14" t="n">
        <v>2022</v>
      </c>
      <c r="C932" s="14" t="n">
        <v>10</v>
      </c>
      <c r="D932" s="14" t="s">
        <v>59</v>
      </c>
      <c r="E932" s="15" t="n">
        <v>177414.19</v>
      </c>
      <c r="F932" s="15" t="n">
        <v>168711.27</v>
      </c>
      <c r="G932" s="16" t="n">
        <f aca="false">ROUND(E932+F932,2)</f>
        <v>346125.46</v>
      </c>
    </row>
    <row r="933" customFormat="false" ht="15" hidden="false" customHeight="false" outlineLevel="0" collapsed="false">
      <c r="A933" s="14" t="s">
        <v>16</v>
      </c>
      <c r="B933" s="14" t="n">
        <v>2022</v>
      </c>
      <c r="C933" s="14" t="n">
        <v>11</v>
      </c>
      <c r="D933" s="14" t="s">
        <v>60</v>
      </c>
      <c r="E933" s="15" t="n">
        <v>182830.47</v>
      </c>
      <c r="F933" s="15" t="n">
        <v>161878.29</v>
      </c>
      <c r="G933" s="16" t="n">
        <f aca="false">ROUND(E933+F933,2)</f>
        <v>344708.76</v>
      </c>
    </row>
    <row r="934" customFormat="false" ht="15" hidden="false" customHeight="false" outlineLevel="0" collapsed="false">
      <c r="A934" s="14" t="s">
        <v>16</v>
      </c>
      <c r="B934" s="14" t="n">
        <v>2022</v>
      </c>
      <c r="C934" s="14" t="n">
        <v>12</v>
      </c>
      <c r="D934" s="14" t="s">
        <v>61</v>
      </c>
      <c r="E934" s="15" t="n">
        <v>179916.26</v>
      </c>
      <c r="F934" s="15" t="n">
        <v>170923.66</v>
      </c>
      <c r="G934" s="16" t="n">
        <f aca="false">ROUND(E934+F934,2)</f>
        <v>350839.92</v>
      </c>
    </row>
    <row r="935" customFormat="false" ht="15" hidden="false" customHeight="false" outlineLevel="0" collapsed="false">
      <c r="A935" s="14" t="s">
        <v>16</v>
      </c>
      <c r="B935" s="14" t="n">
        <v>2023</v>
      </c>
      <c r="C935" s="14" t="n">
        <v>1</v>
      </c>
      <c r="D935" s="14" t="s">
        <v>50</v>
      </c>
      <c r="E935" s="15" t="n">
        <v>187824.35</v>
      </c>
      <c r="F935" s="15" t="n">
        <v>170077.32</v>
      </c>
      <c r="G935" s="16" t="n">
        <f aca="false">ROUND(E935+F935,2)</f>
        <v>357901.67</v>
      </c>
    </row>
    <row r="936" customFormat="false" ht="15" hidden="false" customHeight="false" outlineLevel="0" collapsed="false">
      <c r="A936" s="14" t="s">
        <v>16</v>
      </c>
      <c r="B936" s="14" t="n">
        <v>2023</v>
      </c>
      <c r="C936" s="14" t="n">
        <v>2</v>
      </c>
      <c r="D936" s="14" t="s">
        <v>51</v>
      </c>
      <c r="E936" s="15" t="n">
        <v>196040.35</v>
      </c>
      <c r="F936" s="15" t="n">
        <v>166773.17</v>
      </c>
      <c r="G936" s="16" t="n">
        <f aca="false">ROUND(E936+F936,2)</f>
        <v>362813.52</v>
      </c>
    </row>
    <row r="937" customFormat="false" ht="15" hidden="false" customHeight="false" outlineLevel="0" collapsed="false">
      <c r="A937" s="14" t="s">
        <v>16</v>
      </c>
      <c r="B937" s="14" t="n">
        <v>2023</v>
      </c>
      <c r="C937" s="14" t="n">
        <v>3</v>
      </c>
      <c r="D937" s="14" t="s">
        <v>52</v>
      </c>
      <c r="E937" s="15" t="n">
        <v>210796.51</v>
      </c>
      <c r="F937" s="15" t="n">
        <v>195764.51</v>
      </c>
      <c r="G937" s="16" t="n">
        <f aca="false">ROUND(E937+F937,2)</f>
        <v>406561.02</v>
      </c>
    </row>
    <row r="938" customFormat="false" ht="15" hidden="false" customHeight="false" outlineLevel="0" collapsed="false">
      <c r="A938" s="14" t="s">
        <v>16</v>
      </c>
      <c r="B938" s="14" t="n">
        <v>2023</v>
      </c>
      <c r="C938" s="14" t="n">
        <v>4</v>
      </c>
      <c r="D938" s="14" t="s">
        <v>53</v>
      </c>
      <c r="E938" s="15" t="n">
        <v>214703.91</v>
      </c>
      <c r="F938" s="15" t="n">
        <v>186379.04</v>
      </c>
      <c r="G938" s="16" t="n">
        <f aca="false">ROUND(E938+F938,2)</f>
        <v>401082.95</v>
      </c>
    </row>
    <row r="939" customFormat="false" ht="15" hidden="false" customHeight="false" outlineLevel="0" collapsed="false">
      <c r="A939" s="14" t="s">
        <v>16</v>
      </c>
      <c r="B939" s="14" t="n">
        <v>2023</v>
      </c>
      <c r="C939" s="14" t="n">
        <v>5</v>
      </c>
      <c r="D939" s="14" t="s">
        <v>54</v>
      </c>
      <c r="E939" s="15" t="n">
        <v>247111.41</v>
      </c>
      <c r="F939" s="15" t="n">
        <v>193336.61</v>
      </c>
      <c r="G939" s="16" t="n">
        <f aca="false">ROUND(E939+F939,2)</f>
        <v>440448.02</v>
      </c>
    </row>
    <row r="940" customFormat="false" ht="15" hidden="false" customHeight="false" outlineLevel="0" collapsed="false">
      <c r="A940" s="14" t="s">
        <v>16</v>
      </c>
      <c r="B940" s="14" t="n">
        <v>2023</v>
      </c>
      <c r="C940" s="14" t="n">
        <v>6</v>
      </c>
      <c r="D940" s="14" t="s">
        <v>55</v>
      </c>
      <c r="E940" s="15" t="n">
        <v>231053.93</v>
      </c>
      <c r="F940" s="15" t="n">
        <v>203062.81</v>
      </c>
      <c r="G940" s="16" t="n">
        <f aca="false">ROUND(E940+F940,2)</f>
        <v>434116.74</v>
      </c>
    </row>
    <row r="941" customFormat="false" ht="15" hidden="false" customHeight="false" outlineLevel="0" collapsed="false">
      <c r="A941" s="14" t="s">
        <v>16</v>
      </c>
      <c r="B941" s="14" t="n">
        <v>2023</v>
      </c>
      <c r="C941" s="14" t="n">
        <v>7</v>
      </c>
      <c r="D941" s="14" t="s">
        <v>56</v>
      </c>
      <c r="E941" s="15" t="n">
        <v>249706.63</v>
      </c>
      <c r="F941" s="15" t="n">
        <v>223141.22</v>
      </c>
      <c r="G941" s="16" t="n">
        <f aca="false">ROUND(E941+F941,2)</f>
        <v>472847.85</v>
      </c>
    </row>
    <row r="942" customFormat="false" ht="15" hidden="false" customHeight="false" outlineLevel="0" collapsed="false">
      <c r="A942" s="14" t="s">
        <v>16</v>
      </c>
      <c r="B942" s="14" t="n">
        <v>2023</v>
      </c>
      <c r="C942" s="14" t="n">
        <v>8</v>
      </c>
      <c r="D942" s="14" t="s">
        <v>57</v>
      </c>
      <c r="E942" s="15" t="n">
        <v>256367.08</v>
      </c>
      <c r="F942" s="15" t="n">
        <v>230579.39</v>
      </c>
      <c r="G942" s="16" t="n">
        <f aca="false">ROUND(E942+F942,2)</f>
        <v>486946.47</v>
      </c>
    </row>
    <row r="943" customFormat="false" ht="15" hidden="false" customHeight="false" outlineLevel="0" collapsed="false">
      <c r="A943" s="14" t="s">
        <v>16</v>
      </c>
      <c r="B943" s="14" t="n">
        <v>2023</v>
      </c>
      <c r="C943" s="14" t="n">
        <v>9</v>
      </c>
      <c r="D943" s="14" t="s">
        <v>58</v>
      </c>
      <c r="E943" s="15" t="n">
        <v>226291.22</v>
      </c>
      <c r="F943" s="15" t="n">
        <v>208840.55</v>
      </c>
      <c r="G943" s="16" t="n">
        <f aca="false">ROUND(E943+F943,2)</f>
        <v>435131.77</v>
      </c>
    </row>
    <row r="944" customFormat="false" ht="15" hidden="false" customHeight="false" outlineLevel="0" collapsed="false">
      <c r="A944" s="14" t="s">
        <v>16</v>
      </c>
      <c r="B944" s="14" t="n">
        <v>2023</v>
      </c>
      <c r="C944" s="14" t="n">
        <v>10</v>
      </c>
      <c r="D944" s="14" t="s">
        <v>59</v>
      </c>
      <c r="E944" s="15" t="n">
        <v>235701.67</v>
      </c>
      <c r="F944" s="15" t="n">
        <v>228190.56</v>
      </c>
      <c r="G944" s="16" t="n">
        <f aca="false">ROUND(E944+F944,2)</f>
        <v>463892.23</v>
      </c>
    </row>
    <row r="945" customFormat="false" ht="15" hidden="false" customHeight="false" outlineLevel="0" collapsed="false">
      <c r="A945" s="14" t="s">
        <v>16</v>
      </c>
      <c r="B945" s="14" t="n">
        <v>2023</v>
      </c>
      <c r="C945" s="14" t="n">
        <v>11</v>
      </c>
      <c r="D945" s="14" t="s">
        <v>60</v>
      </c>
      <c r="E945" s="15" t="n">
        <v>244230.47</v>
      </c>
      <c r="F945" s="15" t="n">
        <v>222598.48</v>
      </c>
      <c r="G945" s="16" t="n">
        <f aca="false">ROUND(E945+F945,2)</f>
        <v>466828.95</v>
      </c>
    </row>
    <row r="946" customFormat="false" ht="15" hidden="false" customHeight="false" outlineLevel="0" collapsed="false">
      <c r="A946" s="14" t="s">
        <v>16</v>
      </c>
      <c r="B946" s="14" t="n">
        <v>2023</v>
      </c>
      <c r="C946" s="14" t="n">
        <v>12</v>
      </c>
      <c r="D946" s="14" t="s">
        <v>61</v>
      </c>
      <c r="E946" s="15" t="n">
        <v>211091.51</v>
      </c>
      <c r="F946" s="15" t="n">
        <v>193310.02</v>
      </c>
      <c r="G946" s="16" t="n">
        <f aca="false">ROUND(E946+F946,2)</f>
        <v>404401.53</v>
      </c>
    </row>
    <row r="947" customFormat="false" ht="15" hidden="false" customHeight="false" outlineLevel="0" collapsed="false">
      <c r="A947" s="14" t="s">
        <v>16</v>
      </c>
      <c r="B947" s="14" t="n">
        <v>2024</v>
      </c>
      <c r="C947" s="14" t="n">
        <v>1</v>
      </c>
      <c r="D947" s="14" t="s">
        <v>50</v>
      </c>
      <c r="E947" s="15" t="n">
        <v>259872.38</v>
      </c>
      <c r="F947" s="15" t="n">
        <v>223324.36</v>
      </c>
      <c r="G947" s="16" t="n">
        <f aca="false">ROUND(E947+F947,2)</f>
        <v>483196.74</v>
      </c>
    </row>
    <row r="948" customFormat="false" ht="15" hidden="false" customHeight="false" outlineLevel="0" collapsed="false">
      <c r="A948" s="14" t="s">
        <v>16</v>
      </c>
      <c r="B948" s="14" t="n">
        <v>2024</v>
      </c>
      <c r="C948" s="14" t="n">
        <v>2</v>
      </c>
      <c r="D948" s="14" t="s">
        <v>51</v>
      </c>
      <c r="E948" s="15" t="n">
        <v>263894.5</v>
      </c>
      <c r="F948" s="15" t="n">
        <v>221657.56</v>
      </c>
      <c r="G948" s="16" t="n">
        <f aca="false">ROUND(E948+F948,2)</f>
        <v>485552.06</v>
      </c>
    </row>
    <row r="949" customFormat="false" ht="15" hidden="false" customHeight="false" outlineLevel="0" collapsed="false">
      <c r="A949" s="14" t="s">
        <v>16</v>
      </c>
      <c r="B949" s="14" t="n">
        <v>2024</v>
      </c>
      <c r="C949" s="14" t="n">
        <v>3</v>
      </c>
      <c r="D949" s="14" t="s">
        <v>52</v>
      </c>
      <c r="E949" s="15" t="n">
        <v>283221.86</v>
      </c>
      <c r="F949" s="15" t="n">
        <v>229260.77</v>
      </c>
      <c r="G949" s="16" t="n">
        <f aca="false">ROUND(E949+F949,2)</f>
        <v>512482.63</v>
      </c>
    </row>
    <row r="950" customFormat="false" ht="15" hidden="false" customHeight="false" outlineLevel="0" collapsed="false">
      <c r="A950" s="14" t="s">
        <v>16</v>
      </c>
      <c r="B950" s="14" t="n">
        <v>2024</v>
      </c>
      <c r="C950" s="14" t="n">
        <v>4</v>
      </c>
      <c r="D950" s="14" t="s">
        <v>53</v>
      </c>
      <c r="E950" s="15" t="n">
        <v>337526.65</v>
      </c>
      <c r="F950" s="15" t="n">
        <v>233039.41</v>
      </c>
      <c r="G950" s="16" t="n">
        <f aca="false">ROUND(E950+F950,2)</f>
        <v>570566.06</v>
      </c>
    </row>
    <row r="951" customFormat="false" ht="15" hidden="false" customHeight="false" outlineLevel="0" collapsed="false">
      <c r="A951" s="14" t="s">
        <v>16</v>
      </c>
      <c r="B951" s="14" t="n">
        <v>2024</v>
      </c>
      <c r="C951" s="14" t="n">
        <v>5</v>
      </c>
      <c r="D951" s="14" t="s">
        <v>54</v>
      </c>
      <c r="E951" s="15" t="n">
        <v>348364.18</v>
      </c>
      <c r="F951" s="15" t="n">
        <v>234540.58</v>
      </c>
      <c r="G951" s="16" t="n">
        <f aca="false">ROUND(E951+F951,2)</f>
        <v>582904.76</v>
      </c>
    </row>
    <row r="952" customFormat="false" ht="15" hidden="false" customHeight="false" outlineLevel="0" collapsed="false">
      <c r="A952" s="14" t="s">
        <v>16</v>
      </c>
      <c r="B952" s="14" t="n">
        <v>2024</v>
      </c>
      <c r="C952" s="14" t="n">
        <v>6</v>
      </c>
      <c r="D952" s="14" t="s">
        <v>55</v>
      </c>
      <c r="E952" s="15" t="n">
        <v>137066.28</v>
      </c>
      <c r="F952" s="15" t="n">
        <v>78221.27</v>
      </c>
      <c r="G952" s="16" t="n">
        <f aca="false">ROUND(E952+F952,2)</f>
        <v>215287.55</v>
      </c>
    </row>
    <row r="953" customFormat="false" ht="15" hidden="false" customHeight="false" outlineLevel="0" collapsed="false">
      <c r="A953" s="14" t="s">
        <v>16</v>
      </c>
      <c r="B953" s="14" t="n">
        <v>2024</v>
      </c>
      <c r="C953" s="14" t="n">
        <v>7</v>
      </c>
      <c r="D953" s="14" t="s">
        <v>56</v>
      </c>
      <c r="E953" s="15" t="n">
        <v>418801.53</v>
      </c>
      <c r="F953" s="15" t="n">
        <v>271169.43</v>
      </c>
      <c r="G953" s="16" t="n">
        <f aca="false">ROUND(E953+F953,2)</f>
        <v>689970.96</v>
      </c>
    </row>
    <row r="954" customFormat="false" ht="15" hidden="false" customHeight="false" outlineLevel="0" collapsed="false">
      <c r="A954" s="14" t="s">
        <v>16</v>
      </c>
      <c r="B954" s="14" t="n">
        <v>2024</v>
      </c>
      <c r="C954" s="14" t="n">
        <v>8</v>
      </c>
      <c r="D954" s="14" t="s">
        <v>57</v>
      </c>
      <c r="E954" s="15" t="n">
        <v>452335.79</v>
      </c>
      <c r="F954" s="15" t="n">
        <v>253525.1</v>
      </c>
      <c r="G954" s="16" t="n">
        <f aca="false">ROUND(E954+F954,2)</f>
        <v>705860.89</v>
      </c>
    </row>
    <row r="955" customFormat="false" ht="15" hidden="false" customHeight="false" outlineLevel="0" collapsed="false">
      <c r="A955" s="14" t="s">
        <v>16</v>
      </c>
      <c r="B955" s="14" t="n">
        <v>2024</v>
      </c>
      <c r="C955" s="14" t="n">
        <v>9</v>
      </c>
      <c r="D955" s="14" t="s">
        <v>58</v>
      </c>
      <c r="E955" s="15" t="n">
        <v>363849.18</v>
      </c>
      <c r="F955" s="15" t="n">
        <v>253374.04</v>
      </c>
      <c r="G955" s="16" t="n">
        <f aca="false">ROUND(E955+F955,2)</f>
        <v>617223.22</v>
      </c>
    </row>
    <row r="956" customFormat="false" ht="15" hidden="false" customHeight="false" outlineLevel="0" collapsed="false">
      <c r="A956" s="14" t="s">
        <v>16</v>
      </c>
      <c r="B956" s="14" t="n">
        <v>2024</v>
      </c>
      <c r="C956" s="14" t="n">
        <v>10</v>
      </c>
      <c r="D956" s="14" t="s">
        <v>59</v>
      </c>
      <c r="E956" s="15" t="n">
        <v>472426.33</v>
      </c>
      <c r="F956" s="15" t="n">
        <v>297979.44</v>
      </c>
      <c r="G956" s="16" t="n">
        <f aca="false">ROUND(E956+F956,2)</f>
        <v>770405.77</v>
      </c>
    </row>
    <row r="957" customFormat="false" ht="15" hidden="false" customHeight="false" outlineLevel="0" collapsed="false">
      <c r="A957" s="14" t="s">
        <v>16</v>
      </c>
      <c r="B957" s="14" t="n">
        <v>2024</v>
      </c>
      <c r="C957" s="14" t="n">
        <v>11</v>
      </c>
      <c r="D957" s="14" t="s">
        <v>60</v>
      </c>
      <c r="E957" s="15" t="n">
        <v>377881.21</v>
      </c>
      <c r="F957" s="15" t="n">
        <v>240028.06</v>
      </c>
      <c r="G957" s="16" t="n">
        <f aca="false">ROUND(E957+F957,2)</f>
        <v>617909.27</v>
      </c>
    </row>
    <row r="958" customFormat="false" ht="15" hidden="false" customHeight="false" outlineLevel="0" collapsed="false">
      <c r="A958" s="14" t="s">
        <v>16</v>
      </c>
      <c r="B958" s="14" t="n">
        <v>2024</v>
      </c>
      <c r="C958" s="14" t="n">
        <v>12</v>
      </c>
      <c r="D958" s="14" t="s">
        <v>61</v>
      </c>
      <c r="E958" s="15" t="n">
        <v>381013.96</v>
      </c>
      <c r="F958" s="15" t="n">
        <v>219677.05</v>
      </c>
      <c r="G958" s="16" t="n">
        <f aca="false">ROUND(E958+F958,2)</f>
        <v>600691.01</v>
      </c>
    </row>
    <row r="959" customFormat="false" ht="15" hidden="false" customHeight="false" outlineLevel="0" collapsed="false">
      <c r="A959" s="14" t="s">
        <v>16</v>
      </c>
      <c r="B959" s="14" t="n">
        <v>2025</v>
      </c>
      <c r="C959" s="14" t="n">
        <v>1</v>
      </c>
      <c r="D959" s="14" t="s">
        <v>50</v>
      </c>
      <c r="E959" s="15" t="n">
        <v>432994.31</v>
      </c>
      <c r="F959" s="15" t="n">
        <v>226281.23</v>
      </c>
      <c r="G959" s="16" t="n">
        <f aca="false">ROUND(E959+F959,2)</f>
        <v>659275.54</v>
      </c>
    </row>
    <row r="960" customFormat="false" ht="15" hidden="false" customHeight="false" outlineLevel="0" collapsed="false">
      <c r="A960" s="14" t="s">
        <v>16</v>
      </c>
      <c r="B960" s="14" t="n">
        <v>2025</v>
      </c>
      <c r="C960" s="14" t="n">
        <v>2</v>
      </c>
      <c r="D960" s="14" t="s">
        <v>51</v>
      </c>
      <c r="E960" s="15" t="n">
        <v>451597.48</v>
      </c>
      <c r="F960" s="15" t="n">
        <v>258519.3</v>
      </c>
      <c r="G960" s="16" t="n">
        <f aca="false">ROUND(E960+F960,2)</f>
        <v>710116.78</v>
      </c>
    </row>
    <row r="961" customFormat="false" ht="15" hidden="false" customHeight="false" outlineLevel="0" collapsed="false">
      <c r="A961" s="14" t="s">
        <v>16</v>
      </c>
      <c r="B961" s="14" t="n">
        <v>2025</v>
      </c>
      <c r="C961" s="14" t="n">
        <v>3</v>
      </c>
      <c r="D961" s="14" t="s">
        <v>52</v>
      </c>
      <c r="E961" s="15" t="n">
        <v>427330.85</v>
      </c>
      <c r="F961" s="15" t="n">
        <v>248326.62</v>
      </c>
      <c r="G961" s="16" t="n">
        <f aca="false">ROUND(E961+F961,2)</f>
        <v>675657.47</v>
      </c>
    </row>
    <row r="962" customFormat="false" ht="15" hidden="false" customHeight="false" outlineLevel="0" collapsed="false">
      <c r="A962" s="14" t="s">
        <v>16</v>
      </c>
      <c r="B962" s="14" t="n">
        <v>2025</v>
      </c>
      <c r="C962" s="14" t="n">
        <v>4</v>
      </c>
      <c r="D962" s="14" t="s">
        <v>53</v>
      </c>
      <c r="E962" s="15" t="n">
        <v>439539.85</v>
      </c>
      <c r="F962" s="15" t="n">
        <v>276231.51</v>
      </c>
      <c r="G962" s="16" t="n">
        <f aca="false">ROUND(E962+F962,2)</f>
        <v>715771.36</v>
      </c>
    </row>
    <row r="963" customFormat="false" ht="15" hidden="false" customHeight="false" outlineLevel="0" collapsed="false">
      <c r="A963" s="14" t="s">
        <v>16</v>
      </c>
      <c r="B963" s="14" t="n">
        <v>2025</v>
      </c>
      <c r="C963" s="14" t="n">
        <v>5</v>
      </c>
      <c r="D963" s="14" t="s">
        <v>54</v>
      </c>
      <c r="E963" s="15" t="n">
        <v>385715.87</v>
      </c>
      <c r="F963" s="15" t="n">
        <v>238657.58</v>
      </c>
      <c r="G963" s="16" t="n">
        <f aca="false">ROUND(E963+F963,2)</f>
        <v>624373.45</v>
      </c>
    </row>
    <row r="964" customFormat="false" ht="15" hidden="false" customHeight="false" outlineLevel="0" collapsed="false">
      <c r="A964" s="14" t="s">
        <v>16</v>
      </c>
      <c r="B964" s="14" t="n">
        <v>2025</v>
      </c>
      <c r="C964" s="14" t="n">
        <v>6</v>
      </c>
      <c r="D964" s="14" t="s">
        <v>55</v>
      </c>
      <c r="E964" s="15" t="n">
        <v>386003.01</v>
      </c>
      <c r="F964" s="15" t="n">
        <v>230114.84</v>
      </c>
      <c r="G964" s="16" t="n">
        <f aca="false">ROUND(E964+F964,2)</f>
        <v>616117.85</v>
      </c>
    </row>
    <row r="965" customFormat="false" ht="15" hidden="false" customHeight="false" outlineLevel="0" collapsed="false">
      <c r="A965" s="14" t="s">
        <v>16</v>
      </c>
      <c r="B965" s="14" t="n">
        <v>2025</v>
      </c>
      <c r="C965" s="14" t="n">
        <v>7</v>
      </c>
      <c r="D965" s="14" t="s">
        <v>56</v>
      </c>
      <c r="E965" s="15" t="n">
        <v>388127.5</v>
      </c>
      <c r="F965" s="15" t="n">
        <v>230559.94</v>
      </c>
      <c r="G965" s="16" t="n">
        <f aca="false">ROUND(E965+F965,2)</f>
        <v>618687.44</v>
      </c>
    </row>
    <row r="966" customFormat="false" ht="15" hidden="false" customHeight="false" outlineLevel="0" collapsed="false">
      <c r="A966" s="14" t="s">
        <v>16</v>
      </c>
      <c r="B966" s="14" t="n">
        <v>2025</v>
      </c>
      <c r="C966" s="14" t="n">
        <v>8</v>
      </c>
      <c r="D966" s="14" t="s">
        <v>57</v>
      </c>
      <c r="E966" s="15" t="n">
        <v>430635.18</v>
      </c>
      <c r="F966" s="15" t="n">
        <v>272192.33</v>
      </c>
      <c r="G966" s="16" t="n">
        <f aca="false">ROUND(E966+F966,2)</f>
        <v>702827.51</v>
      </c>
    </row>
    <row r="967" customFormat="false" ht="15" hidden="false" customHeight="false" outlineLevel="0" collapsed="false">
      <c r="A967" s="14" t="s">
        <v>16</v>
      </c>
      <c r="B967" s="14" t="n">
        <v>2025</v>
      </c>
      <c r="C967" s="14" t="n">
        <v>9</v>
      </c>
      <c r="D967" s="14" t="s">
        <v>58</v>
      </c>
      <c r="E967" s="15" t="n">
        <v>417553.32</v>
      </c>
      <c r="F967" s="15" t="n">
        <v>287599.6</v>
      </c>
      <c r="G967" s="16" t="n">
        <f aca="false">ROUND(E967+F967,2)</f>
        <v>705152.92</v>
      </c>
    </row>
    <row r="968" customFormat="false" ht="15" hidden="false" customHeight="false" outlineLevel="0" collapsed="false">
      <c r="A968" s="14" t="s">
        <v>16</v>
      </c>
      <c r="B968" s="14" t="n">
        <v>2025</v>
      </c>
      <c r="C968" s="14" t="n">
        <v>10</v>
      </c>
      <c r="D968" s="14" t="s">
        <v>59</v>
      </c>
      <c r="E968" s="15" t="n">
        <v>399902.65</v>
      </c>
      <c r="F968" s="15" t="n">
        <v>301221.42</v>
      </c>
      <c r="G968" s="16" t="n">
        <f aca="false">ROUND(E968+F968,2)</f>
        <v>701124.07</v>
      </c>
    </row>
    <row r="969" customFormat="false" ht="15" hidden="false" customHeight="false" outlineLevel="0" collapsed="false">
      <c r="A969" s="14" t="s">
        <v>16</v>
      </c>
      <c r="B969" s="14" t="n">
        <v>2025</v>
      </c>
      <c r="C969" s="14" t="n">
        <v>11</v>
      </c>
      <c r="D969" s="14" t="s">
        <v>60</v>
      </c>
      <c r="E969" s="15" t="n">
        <v>335717.5</v>
      </c>
      <c r="F969" s="15" t="n">
        <v>238976.15</v>
      </c>
      <c r="G969" s="16" t="n">
        <f aca="false">ROUND(E969+F969,2)</f>
        <v>574693.65</v>
      </c>
    </row>
    <row r="970" customFormat="false" ht="15" hidden="false" customHeight="false" outlineLevel="0" collapsed="false">
      <c r="A970" s="14" t="s">
        <v>16</v>
      </c>
      <c r="B970" s="14" t="n">
        <v>2025</v>
      </c>
      <c r="C970" s="14" t="n">
        <v>12</v>
      </c>
      <c r="D970" s="14" t="s">
        <v>61</v>
      </c>
      <c r="E970" s="15" t="n">
        <v>369531.69</v>
      </c>
      <c r="F970" s="15" t="n">
        <v>203412.67</v>
      </c>
      <c r="G970" s="16" t="n">
        <f aca="false">ROUND(E970+F970,2)</f>
        <v>572944.36</v>
      </c>
    </row>
    <row r="971" customFormat="false" ht="15" hidden="false" customHeight="false" outlineLevel="0" collapsed="false">
      <c r="A971" s="14" t="s">
        <v>16</v>
      </c>
      <c r="B971" s="14" t="n">
        <v>2026</v>
      </c>
      <c r="C971" s="14" t="n">
        <v>1</v>
      </c>
      <c r="D971" s="14" t="s">
        <v>50</v>
      </c>
      <c r="E971" s="15" t="n">
        <v>468929.32</v>
      </c>
      <c r="F971" s="15" t="n">
        <v>250162.74</v>
      </c>
      <c r="G971" s="16" t="n">
        <f aca="false">ROUND(E971+F971,2)</f>
        <v>719092.06</v>
      </c>
    </row>
    <row r="972" customFormat="false" ht="15" hidden="false" customHeight="false" outlineLevel="0" collapsed="false">
      <c r="A972" s="14" t="s">
        <v>16</v>
      </c>
      <c r="B972" s="14" t="n">
        <v>2026</v>
      </c>
      <c r="C972" s="14" t="n">
        <v>2</v>
      </c>
      <c r="D972" s="14" t="s">
        <v>51</v>
      </c>
      <c r="E972" s="15" t="n">
        <v>413158.64</v>
      </c>
      <c r="F972" s="15" t="n">
        <v>194615.76</v>
      </c>
      <c r="G972" s="16" t="n">
        <f aca="false">ROUND(E972+F972,2)</f>
        <v>607774.4</v>
      </c>
    </row>
    <row r="973" customFormat="false" ht="15" hidden="false" customHeight="false" outlineLevel="0" collapsed="false">
      <c r="A973" s="14" t="s">
        <v>16</v>
      </c>
      <c r="B973" s="14" t="n">
        <v>2026</v>
      </c>
      <c r="C973" s="14" t="n">
        <v>3</v>
      </c>
      <c r="D973" s="14" t="s">
        <v>52</v>
      </c>
      <c r="E973" s="15" t="n">
        <v>447838.36</v>
      </c>
      <c r="F973" s="15" t="n">
        <v>261520.03</v>
      </c>
      <c r="G973" s="16" t="n">
        <f aca="false">ROUND(E973+F973,2)</f>
        <v>709358.39</v>
      </c>
    </row>
    <row r="974" customFormat="false" ht="15" hidden="false" customHeight="false" outlineLevel="0" collapsed="false">
      <c r="A974" s="14" t="s">
        <v>16</v>
      </c>
      <c r="B974" s="14" t="n">
        <v>2026</v>
      </c>
      <c r="C974" s="14" t="n">
        <v>4</v>
      </c>
      <c r="D974" s="14" t="s">
        <v>53</v>
      </c>
      <c r="E974" s="15" t="n">
        <v>464429.72</v>
      </c>
      <c r="F974" s="15" t="n">
        <v>246342.75</v>
      </c>
      <c r="G974" s="16" t="n">
        <f aca="false">ROUND(E974+F974,2)</f>
        <v>710772.47</v>
      </c>
    </row>
    <row r="975" customFormat="false" ht="15" hidden="false" customHeight="false" outlineLevel="0" collapsed="false">
      <c r="A975" s="14" t="s">
        <v>16</v>
      </c>
      <c r="B975" s="14" t="n">
        <v>2026</v>
      </c>
      <c r="C975" s="14" t="n">
        <v>5</v>
      </c>
      <c r="D975" s="14" t="s">
        <v>54</v>
      </c>
      <c r="E975" s="15" t="n">
        <v>403813.74</v>
      </c>
      <c r="F975" s="15" t="n">
        <v>215201.81</v>
      </c>
      <c r="G975" s="16" t="n">
        <f aca="false">ROUND(E975+F975,2)</f>
        <v>619015.55</v>
      </c>
    </row>
    <row r="976" customFormat="false" ht="15" hidden="false" customHeight="false" outlineLevel="0" collapsed="false">
      <c r="A976" s="14" t="s">
        <v>16</v>
      </c>
      <c r="B976" s="14" t="n">
        <v>2026</v>
      </c>
      <c r="C976" s="14" t="n">
        <v>6</v>
      </c>
      <c r="D976" s="14" t="s">
        <v>55</v>
      </c>
      <c r="E976" s="15" t="n">
        <v>452097.85</v>
      </c>
      <c r="F976" s="15" t="n">
        <v>241079.74</v>
      </c>
      <c r="G976" s="16" t="n">
        <f aca="false">ROUND(E976+F976,2)</f>
        <v>693177.59</v>
      </c>
    </row>
    <row r="977" customFormat="false" ht="15" hidden="false" customHeight="false" outlineLevel="0" collapsed="false">
      <c r="A977" s="14" t="s">
        <v>16</v>
      </c>
      <c r="B977" s="14" t="n">
        <v>2026</v>
      </c>
      <c r="C977" s="14" t="n">
        <v>7</v>
      </c>
      <c r="D977" s="14" t="s">
        <v>56</v>
      </c>
      <c r="E977" s="15" t="n">
        <v>467619.21</v>
      </c>
      <c r="F977" s="15" t="n">
        <v>249640.6</v>
      </c>
      <c r="G977" s="16" t="n">
        <f aca="false">ROUND(E977+F977,2)</f>
        <v>717259.81</v>
      </c>
    </row>
    <row r="978" customFormat="false" ht="15" hidden="false" customHeight="false" outlineLevel="0" collapsed="false">
      <c r="A978" s="14" t="s">
        <v>35</v>
      </c>
      <c r="B978" s="14" t="n">
        <v>2021</v>
      </c>
      <c r="C978" s="14" t="n">
        <v>1</v>
      </c>
      <c r="D978" s="14" t="s">
        <v>50</v>
      </c>
      <c r="E978" s="15" t="n">
        <v>57697.11</v>
      </c>
      <c r="F978" s="15" t="n">
        <v>38052.57</v>
      </c>
      <c r="G978" s="16" t="n">
        <f aca="false">ROUND(E978+F978,2)</f>
        <v>95749.68</v>
      </c>
    </row>
    <row r="979" customFormat="false" ht="15" hidden="false" customHeight="false" outlineLevel="0" collapsed="false">
      <c r="A979" s="14" t="s">
        <v>35</v>
      </c>
      <c r="B979" s="14" t="n">
        <v>2021</v>
      </c>
      <c r="C979" s="14" t="n">
        <v>2</v>
      </c>
      <c r="D979" s="14" t="s">
        <v>51</v>
      </c>
      <c r="E979" s="15" t="n">
        <v>59962.46</v>
      </c>
      <c r="F979" s="15" t="n">
        <v>36512.2</v>
      </c>
      <c r="G979" s="16" t="n">
        <f aca="false">ROUND(E979+F979,2)</f>
        <v>96474.66</v>
      </c>
    </row>
    <row r="980" customFormat="false" ht="15" hidden="false" customHeight="false" outlineLevel="0" collapsed="false">
      <c r="A980" s="14" t="s">
        <v>35</v>
      </c>
      <c r="B980" s="14" t="n">
        <v>2021</v>
      </c>
      <c r="C980" s="14" t="n">
        <v>3</v>
      </c>
      <c r="D980" s="14" t="s">
        <v>52</v>
      </c>
      <c r="E980" s="15" t="n">
        <v>73312.85</v>
      </c>
      <c r="F980" s="15" t="n">
        <v>40163.89</v>
      </c>
      <c r="G980" s="16" t="n">
        <f aca="false">ROUND(E980+F980,2)</f>
        <v>113476.74</v>
      </c>
    </row>
    <row r="981" customFormat="false" ht="15" hidden="false" customHeight="false" outlineLevel="0" collapsed="false">
      <c r="A981" s="14" t="s">
        <v>35</v>
      </c>
      <c r="B981" s="14" t="n">
        <v>2021</v>
      </c>
      <c r="C981" s="14" t="n">
        <v>4</v>
      </c>
      <c r="D981" s="14" t="s">
        <v>53</v>
      </c>
      <c r="E981" s="15" t="n">
        <v>68542.19</v>
      </c>
      <c r="F981" s="15" t="n">
        <v>32125.87</v>
      </c>
      <c r="G981" s="16" t="n">
        <f aca="false">ROUND(E981+F981,2)</f>
        <v>100668.06</v>
      </c>
    </row>
    <row r="982" customFormat="false" ht="15" hidden="false" customHeight="false" outlineLevel="0" collapsed="false">
      <c r="A982" s="14" t="s">
        <v>35</v>
      </c>
      <c r="B982" s="14" t="n">
        <v>2021</v>
      </c>
      <c r="C982" s="14" t="n">
        <v>5</v>
      </c>
      <c r="D982" s="14" t="s">
        <v>54</v>
      </c>
      <c r="E982" s="15" t="n">
        <v>63408.34</v>
      </c>
      <c r="F982" s="15" t="n">
        <v>37492.28</v>
      </c>
      <c r="G982" s="16" t="n">
        <f aca="false">ROUND(E982+F982,2)</f>
        <v>100900.62</v>
      </c>
    </row>
    <row r="983" customFormat="false" ht="15" hidden="false" customHeight="false" outlineLevel="0" collapsed="false">
      <c r="A983" s="14" t="s">
        <v>35</v>
      </c>
      <c r="B983" s="14" t="n">
        <v>2021</v>
      </c>
      <c r="C983" s="14" t="n">
        <v>6</v>
      </c>
      <c r="D983" s="14" t="s">
        <v>55</v>
      </c>
      <c r="E983" s="15" t="n">
        <v>63631.83</v>
      </c>
      <c r="F983" s="15" t="n">
        <v>36405.44</v>
      </c>
      <c r="G983" s="16" t="n">
        <f aca="false">ROUND(E983+F983,2)</f>
        <v>100037.27</v>
      </c>
    </row>
    <row r="984" customFormat="false" ht="15" hidden="false" customHeight="false" outlineLevel="0" collapsed="false">
      <c r="A984" s="14" t="s">
        <v>35</v>
      </c>
      <c r="B984" s="14" t="n">
        <v>2021</v>
      </c>
      <c r="C984" s="14" t="n">
        <v>7</v>
      </c>
      <c r="D984" s="14" t="s">
        <v>56</v>
      </c>
      <c r="E984" s="15" t="n">
        <v>64185.07</v>
      </c>
      <c r="F984" s="15" t="n">
        <v>35477.87</v>
      </c>
      <c r="G984" s="16" t="n">
        <f aca="false">ROUND(E984+F984,2)</f>
        <v>99662.94</v>
      </c>
    </row>
    <row r="985" customFormat="false" ht="15" hidden="false" customHeight="false" outlineLevel="0" collapsed="false">
      <c r="A985" s="14" t="s">
        <v>35</v>
      </c>
      <c r="B985" s="14" t="n">
        <v>2021</v>
      </c>
      <c r="C985" s="14" t="n">
        <v>8</v>
      </c>
      <c r="D985" s="14" t="s">
        <v>57</v>
      </c>
      <c r="E985" s="15" t="n">
        <v>68375.24</v>
      </c>
      <c r="F985" s="15" t="n">
        <v>40017.21</v>
      </c>
      <c r="G985" s="16" t="n">
        <f aca="false">ROUND(E985+F985,2)</f>
        <v>108392.45</v>
      </c>
    </row>
    <row r="986" customFormat="false" ht="15" hidden="false" customHeight="false" outlineLevel="0" collapsed="false">
      <c r="A986" s="14" t="s">
        <v>35</v>
      </c>
      <c r="B986" s="14" t="n">
        <v>2021</v>
      </c>
      <c r="C986" s="14" t="n">
        <v>9</v>
      </c>
      <c r="D986" s="14" t="s">
        <v>58</v>
      </c>
      <c r="E986" s="15" t="n">
        <v>64839.2</v>
      </c>
      <c r="F986" s="15" t="n">
        <v>38174.6</v>
      </c>
      <c r="G986" s="16" t="n">
        <f aca="false">ROUND(E986+F986,2)</f>
        <v>103013.8</v>
      </c>
    </row>
    <row r="987" customFormat="false" ht="15" hidden="false" customHeight="false" outlineLevel="0" collapsed="false">
      <c r="A987" s="14" t="s">
        <v>35</v>
      </c>
      <c r="B987" s="14" t="n">
        <v>2021</v>
      </c>
      <c r="C987" s="14" t="n">
        <v>10</v>
      </c>
      <c r="D987" s="14" t="s">
        <v>59</v>
      </c>
      <c r="E987" s="15" t="n">
        <v>61053.6</v>
      </c>
      <c r="F987" s="15" t="n">
        <v>42608.38</v>
      </c>
      <c r="G987" s="16" t="n">
        <f aca="false">ROUND(E987+F987,2)</f>
        <v>103661.98</v>
      </c>
    </row>
    <row r="988" customFormat="false" ht="15" hidden="false" customHeight="false" outlineLevel="0" collapsed="false">
      <c r="A988" s="14" t="s">
        <v>35</v>
      </c>
      <c r="B988" s="14" t="n">
        <v>2021</v>
      </c>
      <c r="C988" s="14" t="n">
        <v>11</v>
      </c>
      <c r="D988" s="14" t="s">
        <v>60</v>
      </c>
      <c r="E988" s="15" t="n">
        <v>49411.45</v>
      </c>
      <c r="F988" s="15" t="n">
        <v>33393.06</v>
      </c>
      <c r="G988" s="16" t="n">
        <f aca="false">ROUND(E988+F988,2)</f>
        <v>82804.51</v>
      </c>
    </row>
    <row r="989" customFormat="false" ht="15" hidden="false" customHeight="false" outlineLevel="0" collapsed="false">
      <c r="A989" s="14" t="s">
        <v>35</v>
      </c>
      <c r="B989" s="14" t="n">
        <v>2021</v>
      </c>
      <c r="C989" s="14" t="n">
        <v>12</v>
      </c>
      <c r="D989" s="14" t="s">
        <v>61</v>
      </c>
      <c r="E989" s="15" t="n">
        <v>60515.91</v>
      </c>
      <c r="F989" s="15" t="n">
        <v>44873.37</v>
      </c>
      <c r="G989" s="16" t="n">
        <f aca="false">ROUND(E989+F989,2)</f>
        <v>105389.28</v>
      </c>
    </row>
    <row r="990" customFormat="false" ht="15" hidden="false" customHeight="false" outlineLevel="0" collapsed="false">
      <c r="A990" s="14" t="s">
        <v>35</v>
      </c>
      <c r="B990" s="14" t="n">
        <v>2022</v>
      </c>
      <c r="C990" s="14" t="n">
        <v>1</v>
      </c>
      <c r="D990" s="14" t="s">
        <v>50</v>
      </c>
      <c r="E990" s="15" t="n">
        <v>51215.41</v>
      </c>
      <c r="F990" s="15" t="n">
        <v>36907.32</v>
      </c>
      <c r="G990" s="16" t="n">
        <f aca="false">ROUND(E990+F990,2)</f>
        <v>88122.73</v>
      </c>
    </row>
    <row r="991" customFormat="false" ht="15" hidden="false" customHeight="false" outlineLevel="0" collapsed="false">
      <c r="A991" s="14" t="s">
        <v>35</v>
      </c>
      <c r="B991" s="14" t="n">
        <v>2022</v>
      </c>
      <c r="C991" s="14" t="n">
        <v>2</v>
      </c>
      <c r="D991" s="14" t="s">
        <v>51</v>
      </c>
      <c r="E991" s="15" t="n">
        <v>50743.98</v>
      </c>
      <c r="F991" s="15" t="n">
        <v>35662.8</v>
      </c>
      <c r="G991" s="16" t="n">
        <f aca="false">ROUND(E991+F991,2)</f>
        <v>86406.78</v>
      </c>
    </row>
    <row r="992" customFormat="false" ht="15" hidden="false" customHeight="false" outlineLevel="0" collapsed="false">
      <c r="A992" s="14" t="s">
        <v>35</v>
      </c>
      <c r="B992" s="14" t="n">
        <v>2022</v>
      </c>
      <c r="C992" s="14" t="n">
        <v>3</v>
      </c>
      <c r="D992" s="14" t="s">
        <v>52</v>
      </c>
      <c r="E992" s="15" t="n">
        <v>66432.42</v>
      </c>
      <c r="F992" s="15" t="n">
        <v>37310.69</v>
      </c>
      <c r="G992" s="16" t="n">
        <f aca="false">ROUND(E992+F992,2)</f>
        <v>103743.11</v>
      </c>
    </row>
    <row r="993" customFormat="false" ht="15" hidden="false" customHeight="false" outlineLevel="0" collapsed="false">
      <c r="A993" s="14" t="s">
        <v>35</v>
      </c>
      <c r="B993" s="14" t="n">
        <v>2022</v>
      </c>
      <c r="C993" s="14" t="n">
        <v>4</v>
      </c>
      <c r="D993" s="14" t="s">
        <v>53</v>
      </c>
      <c r="E993" s="15" t="n">
        <v>59305.54</v>
      </c>
      <c r="F993" s="15" t="n">
        <v>40680.28</v>
      </c>
      <c r="G993" s="16" t="n">
        <f aca="false">ROUND(E993+F993,2)</f>
        <v>99985.82</v>
      </c>
    </row>
    <row r="994" customFormat="false" ht="15" hidden="false" customHeight="false" outlineLevel="0" collapsed="false">
      <c r="A994" s="14" t="s">
        <v>35</v>
      </c>
      <c r="B994" s="14" t="n">
        <v>2022</v>
      </c>
      <c r="C994" s="14" t="n">
        <v>5</v>
      </c>
      <c r="D994" s="14" t="s">
        <v>54</v>
      </c>
      <c r="E994" s="15" t="n">
        <v>60405.69</v>
      </c>
      <c r="F994" s="15" t="n">
        <v>36054.8</v>
      </c>
      <c r="G994" s="16" t="n">
        <f aca="false">ROUND(E994+F994,2)</f>
        <v>96460.49</v>
      </c>
    </row>
    <row r="995" customFormat="false" ht="15" hidden="false" customHeight="false" outlineLevel="0" collapsed="false">
      <c r="A995" s="14" t="s">
        <v>35</v>
      </c>
      <c r="B995" s="14" t="n">
        <v>2022</v>
      </c>
      <c r="C995" s="14" t="n">
        <v>6</v>
      </c>
      <c r="D995" s="14" t="s">
        <v>55</v>
      </c>
      <c r="E995" s="15" t="n">
        <v>77992.89</v>
      </c>
      <c r="F995" s="15" t="n">
        <v>51021.34</v>
      </c>
      <c r="G995" s="16" t="n">
        <f aca="false">ROUND(E995+F995,2)</f>
        <v>129014.23</v>
      </c>
    </row>
    <row r="996" customFormat="false" ht="15" hidden="false" customHeight="false" outlineLevel="0" collapsed="false">
      <c r="A996" s="14" t="s">
        <v>35</v>
      </c>
      <c r="B996" s="14" t="n">
        <v>2022</v>
      </c>
      <c r="C996" s="14" t="n">
        <v>7</v>
      </c>
      <c r="D996" s="14" t="s">
        <v>56</v>
      </c>
      <c r="E996" s="15" t="n">
        <v>76095.05</v>
      </c>
      <c r="F996" s="15" t="n">
        <v>54301.02</v>
      </c>
      <c r="G996" s="16" t="n">
        <f aca="false">ROUND(E996+F996,2)</f>
        <v>130396.07</v>
      </c>
    </row>
    <row r="997" customFormat="false" ht="15" hidden="false" customHeight="false" outlineLevel="0" collapsed="false">
      <c r="A997" s="14" t="s">
        <v>35</v>
      </c>
      <c r="B997" s="14" t="n">
        <v>2022</v>
      </c>
      <c r="C997" s="14" t="n">
        <v>8</v>
      </c>
      <c r="D997" s="14" t="s">
        <v>57</v>
      </c>
      <c r="E997" s="15" t="n">
        <v>77439.4</v>
      </c>
      <c r="F997" s="15" t="n">
        <v>56577.46</v>
      </c>
      <c r="G997" s="16" t="n">
        <f aca="false">ROUND(E997+F997,2)</f>
        <v>134016.86</v>
      </c>
    </row>
    <row r="998" customFormat="false" ht="15" hidden="false" customHeight="false" outlineLevel="0" collapsed="false">
      <c r="A998" s="14" t="s">
        <v>35</v>
      </c>
      <c r="B998" s="14" t="n">
        <v>2022</v>
      </c>
      <c r="C998" s="14" t="n">
        <v>9</v>
      </c>
      <c r="D998" s="14" t="s">
        <v>58</v>
      </c>
      <c r="E998" s="15" t="n">
        <v>78563.02</v>
      </c>
      <c r="F998" s="15" t="n">
        <v>59069.38</v>
      </c>
      <c r="G998" s="16" t="n">
        <f aca="false">ROUND(E998+F998,2)</f>
        <v>137632.4</v>
      </c>
    </row>
    <row r="999" customFormat="false" ht="15" hidden="false" customHeight="false" outlineLevel="0" collapsed="false">
      <c r="A999" s="14" t="s">
        <v>35</v>
      </c>
      <c r="B999" s="14" t="n">
        <v>2022</v>
      </c>
      <c r="C999" s="14" t="n">
        <v>10</v>
      </c>
      <c r="D999" s="14" t="s">
        <v>59</v>
      </c>
      <c r="E999" s="15" t="n">
        <v>87334.14</v>
      </c>
      <c r="F999" s="15" t="n">
        <v>53524.79</v>
      </c>
      <c r="G999" s="16" t="n">
        <f aca="false">ROUND(E999+F999,2)</f>
        <v>140858.93</v>
      </c>
    </row>
    <row r="1000" customFormat="false" ht="15" hidden="false" customHeight="false" outlineLevel="0" collapsed="false">
      <c r="A1000" s="14" t="s">
        <v>35</v>
      </c>
      <c r="B1000" s="14" t="n">
        <v>2022</v>
      </c>
      <c r="C1000" s="14" t="n">
        <v>11</v>
      </c>
      <c r="D1000" s="14" t="s">
        <v>60</v>
      </c>
      <c r="E1000" s="15" t="n">
        <v>80764.07</v>
      </c>
      <c r="F1000" s="15" t="n">
        <v>50817.87</v>
      </c>
      <c r="G1000" s="16" t="n">
        <f aca="false">ROUND(E1000+F1000,2)</f>
        <v>131581.94</v>
      </c>
    </row>
    <row r="1001" customFormat="false" ht="15" hidden="false" customHeight="false" outlineLevel="0" collapsed="false">
      <c r="A1001" s="14" t="s">
        <v>35</v>
      </c>
      <c r="B1001" s="14" t="n">
        <v>2022</v>
      </c>
      <c r="C1001" s="14" t="n">
        <v>12</v>
      </c>
      <c r="D1001" s="14" t="s">
        <v>61</v>
      </c>
      <c r="E1001" s="15" t="n">
        <v>78118.87</v>
      </c>
      <c r="F1001" s="15" t="n">
        <v>48975.11</v>
      </c>
      <c r="G1001" s="16" t="n">
        <f aca="false">ROUND(E1001+F1001,2)</f>
        <v>127093.98</v>
      </c>
    </row>
    <row r="1002" customFormat="false" ht="15" hidden="false" customHeight="false" outlineLevel="0" collapsed="false">
      <c r="A1002" s="14" t="s">
        <v>35</v>
      </c>
      <c r="B1002" s="14" t="n">
        <v>2023</v>
      </c>
      <c r="C1002" s="14" t="n">
        <v>1</v>
      </c>
      <c r="D1002" s="14" t="s">
        <v>50</v>
      </c>
      <c r="E1002" s="15" t="n">
        <v>96615.98</v>
      </c>
      <c r="F1002" s="15" t="n">
        <v>55496.12</v>
      </c>
      <c r="G1002" s="16" t="n">
        <f aca="false">ROUND(E1002+F1002,2)</f>
        <v>152112.1</v>
      </c>
    </row>
    <row r="1003" customFormat="false" ht="15" hidden="false" customHeight="false" outlineLevel="0" collapsed="false">
      <c r="A1003" s="14" t="s">
        <v>35</v>
      </c>
      <c r="B1003" s="14" t="n">
        <v>2023</v>
      </c>
      <c r="C1003" s="14" t="n">
        <v>2</v>
      </c>
      <c r="D1003" s="14" t="s">
        <v>51</v>
      </c>
      <c r="E1003" s="15" t="n">
        <v>79969.75</v>
      </c>
      <c r="F1003" s="15" t="n">
        <v>45137.4</v>
      </c>
      <c r="G1003" s="16" t="n">
        <f aca="false">ROUND(E1003+F1003,2)</f>
        <v>125107.15</v>
      </c>
    </row>
    <row r="1004" customFormat="false" ht="15" hidden="false" customHeight="false" outlineLevel="0" collapsed="false">
      <c r="A1004" s="14" t="s">
        <v>35</v>
      </c>
      <c r="B1004" s="14" t="n">
        <v>2023</v>
      </c>
      <c r="C1004" s="14" t="n">
        <v>3</v>
      </c>
      <c r="D1004" s="14" t="s">
        <v>52</v>
      </c>
      <c r="E1004" s="15" t="n">
        <v>95328.11</v>
      </c>
      <c r="F1004" s="15" t="n">
        <v>57758.01</v>
      </c>
      <c r="G1004" s="16" t="n">
        <f aca="false">ROUND(E1004+F1004,2)</f>
        <v>153086.12</v>
      </c>
    </row>
    <row r="1005" customFormat="false" ht="15" hidden="false" customHeight="false" outlineLevel="0" collapsed="false">
      <c r="A1005" s="14" t="s">
        <v>35</v>
      </c>
      <c r="B1005" s="14" t="n">
        <v>2023</v>
      </c>
      <c r="C1005" s="14" t="n">
        <v>4</v>
      </c>
      <c r="D1005" s="14" t="s">
        <v>53</v>
      </c>
      <c r="E1005" s="15" t="n">
        <v>87948.67</v>
      </c>
      <c r="F1005" s="15" t="n">
        <v>49303.21</v>
      </c>
      <c r="G1005" s="16" t="n">
        <f aca="false">ROUND(E1005+F1005,2)</f>
        <v>137251.88</v>
      </c>
    </row>
    <row r="1006" customFormat="false" ht="15" hidden="false" customHeight="false" outlineLevel="0" collapsed="false">
      <c r="A1006" s="14" t="s">
        <v>35</v>
      </c>
      <c r="B1006" s="14" t="n">
        <v>2023</v>
      </c>
      <c r="C1006" s="14" t="n">
        <v>5</v>
      </c>
      <c r="D1006" s="14" t="s">
        <v>54</v>
      </c>
      <c r="E1006" s="15" t="n">
        <v>100859.55</v>
      </c>
      <c r="F1006" s="15" t="n">
        <v>49681.03</v>
      </c>
      <c r="G1006" s="16" t="n">
        <f aca="false">ROUND(E1006+F1006,2)</f>
        <v>150540.58</v>
      </c>
    </row>
    <row r="1007" customFormat="false" ht="15" hidden="false" customHeight="false" outlineLevel="0" collapsed="false">
      <c r="A1007" s="14" t="s">
        <v>35</v>
      </c>
      <c r="B1007" s="14" t="n">
        <v>2023</v>
      </c>
      <c r="C1007" s="14" t="n">
        <v>6</v>
      </c>
      <c r="D1007" s="14" t="s">
        <v>55</v>
      </c>
      <c r="E1007" s="15" t="n">
        <v>108950.52</v>
      </c>
      <c r="F1007" s="15" t="n">
        <v>52044.16</v>
      </c>
      <c r="G1007" s="16" t="n">
        <f aca="false">ROUND(E1007+F1007,2)</f>
        <v>160994.68</v>
      </c>
    </row>
    <row r="1008" customFormat="false" ht="15" hidden="false" customHeight="false" outlineLevel="0" collapsed="false">
      <c r="A1008" s="14" t="s">
        <v>35</v>
      </c>
      <c r="B1008" s="14" t="n">
        <v>2023</v>
      </c>
      <c r="C1008" s="14" t="n">
        <v>7</v>
      </c>
      <c r="D1008" s="14" t="s">
        <v>56</v>
      </c>
      <c r="E1008" s="15" t="n">
        <v>93324.27</v>
      </c>
      <c r="F1008" s="15" t="n">
        <v>51631.46</v>
      </c>
      <c r="G1008" s="16" t="n">
        <f aca="false">ROUND(E1008+F1008,2)</f>
        <v>144955.73</v>
      </c>
    </row>
    <row r="1009" customFormat="false" ht="15" hidden="false" customHeight="false" outlineLevel="0" collapsed="false">
      <c r="A1009" s="14" t="s">
        <v>35</v>
      </c>
      <c r="B1009" s="14" t="n">
        <v>2023</v>
      </c>
      <c r="C1009" s="14" t="n">
        <v>8</v>
      </c>
      <c r="D1009" s="14" t="s">
        <v>57</v>
      </c>
      <c r="E1009" s="15" t="n">
        <v>107710.52</v>
      </c>
      <c r="F1009" s="15" t="n">
        <v>68435.72</v>
      </c>
      <c r="G1009" s="16" t="n">
        <f aca="false">ROUND(E1009+F1009,2)</f>
        <v>176146.24</v>
      </c>
    </row>
    <row r="1010" customFormat="false" ht="15" hidden="false" customHeight="false" outlineLevel="0" collapsed="false">
      <c r="A1010" s="14" t="s">
        <v>35</v>
      </c>
      <c r="B1010" s="14" t="n">
        <v>2023</v>
      </c>
      <c r="C1010" s="14" t="n">
        <v>9</v>
      </c>
      <c r="D1010" s="14" t="s">
        <v>58</v>
      </c>
      <c r="E1010" s="15" t="n">
        <v>99892.12</v>
      </c>
      <c r="F1010" s="15" t="n">
        <v>73758.66</v>
      </c>
      <c r="G1010" s="16" t="n">
        <f aca="false">ROUND(E1010+F1010,2)</f>
        <v>173650.78</v>
      </c>
    </row>
    <row r="1011" customFormat="false" ht="15" hidden="false" customHeight="false" outlineLevel="0" collapsed="false">
      <c r="A1011" s="14" t="s">
        <v>35</v>
      </c>
      <c r="B1011" s="14" t="n">
        <v>2023</v>
      </c>
      <c r="C1011" s="14" t="n">
        <v>10</v>
      </c>
      <c r="D1011" s="14" t="s">
        <v>59</v>
      </c>
      <c r="E1011" s="15" t="n">
        <v>90559</v>
      </c>
      <c r="F1011" s="15" t="n">
        <v>75689.74</v>
      </c>
      <c r="G1011" s="16" t="n">
        <f aca="false">ROUND(E1011+F1011,2)</f>
        <v>166248.74</v>
      </c>
    </row>
    <row r="1012" customFormat="false" ht="15" hidden="false" customHeight="false" outlineLevel="0" collapsed="false">
      <c r="A1012" s="14" t="s">
        <v>35</v>
      </c>
      <c r="B1012" s="14" t="n">
        <v>2023</v>
      </c>
      <c r="C1012" s="14" t="n">
        <v>11</v>
      </c>
      <c r="D1012" s="14" t="s">
        <v>60</v>
      </c>
      <c r="E1012" s="15" t="n">
        <v>93932.75</v>
      </c>
      <c r="F1012" s="15" t="n">
        <v>66080.47</v>
      </c>
      <c r="G1012" s="16" t="n">
        <f aca="false">ROUND(E1012+F1012,2)</f>
        <v>160013.22</v>
      </c>
    </row>
    <row r="1013" customFormat="false" ht="15" hidden="false" customHeight="false" outlineLevel="0" collapsed="false">
      <c r="A1013" s="14" t="s">
        <v>35</v>
      </c>
      <c r="B1013" s="14" t="n">
        <v>2023</v>
      </c>
      <c r="C1013" s="14" t="n">
        <v>12</v>
      </c>
      <c r="D1013" s="14" t="s">
        <v>61</v>
      </c>
      <c r="E1013" s="15" t="n">
        <v>77307.22</v>
      </c>
      <c r="F1013" s="15" t="n">
        <v>63685.64</v>
      </c>
      <c r="G1013" s="16" t="n">
        <f aca="false">ROUND(E1013+F1013,2)</f>
        <v>140992.86</v>
      </c>
    </row>
    <row r="1014" customFormat="false" ht="15" hidden="false" customHeight="false" outlineLevel="0" collapsed="false">
      <c r="A1014" s="14" t="s">
        <v>35</v>
      </c>
      <c r="B1014" s="14" t="n">
        <v>2024</v>
      </c>
      <c r="C1014" s="14" t="n">
        <v>1</v>
      </c>
      <c r="D1014" s="14" t="s">
        <v>50</v>
      </c>
      <c r="E1014" s="15" t="n">
        <v>117837.69</v>
      </c>
      <c r="F1014" s="15" t="n">
        <v>78002.83</v>
      </c>
      <c r="G1014" s="16" t="n">
        <f aca="false">ROUND(E1014+F1014,2)</f>
        <v>195840.52</v>
      </c>
    </row>
    <row r="1015" customFormat="false" ht="15" hidden="false" customHeight="false" outlineLevel="0" collapsed="false">
      <c r="A1015" s="14" t="s">
        <v>35</v>
      </c>
      <c r="B1015" s="14" t="n">
        <v>2024</v>
      </c>
      <c r="C1015" s="14" t="n">
        <v>2</v>
      </c>
      <c r="D1015" s="14" t="s">
        <v>51</v>
      </c>
      <c r="E1015" s="15" t="n">
        <v>107818.42</v>
      </c>
      <c r="F1015" s="15" t="n">
        <v>66574.46</v>
      </c>
      <c r="G1015" s="16" t="n">
        <f aca="false">ROUND(E1015+F1015,2)</f>
        <v>174392.88</v>
      </c>
    </row>
    <row r="1016" customFormat="false" ht="15" hidden="false" customHeight="false" outlineLevel="0" collapsed="false">
      <c r="A1016" s="14" t="s">
        <v>35</v>
      </c>
      <c r="B1016" s="14" t="n">
        <v>2024</v>
      </c>
      <c r="C1016" s="14" t="n">
        <v>3</v>
      </c>
      <c r="D1016" s="14" t="s">
        <v>52</v>
      </c>
      <c r="E1016" s="15" t="n">
        <v>110453.93</v>
      </c>
      <c r="F1016" s="15" t="n">
        <v>70468.3</v>
      </c>
      <c r="G1016" s="16" t="n">
        <f aca="false">ROUND(E1016+F1016,2)</f>
        <v>180922.23</v>
      </c>
    </row>
    <row r="1017" customFormat="false" ht="15" hidden="false" customHeight="false" outlineLevel="0" collapsed="false">
      <c r="A1017" s="14" t="s">
        <v>35</v>
      </c>
      <c r="B1017" s="14" t="n">
        <v>2024</v>
      </c>
      <c r="C1017" s="14" t="n">
        <v>4</v>
      </c>
      <c r="D1017" s="14" t="s">
        <v>53</v>
      </c>
      <c r="E1017" s="15" t="n">
        <v>110913.26</v>
      </c>
      <c r="F1017" s="15" t="n">
        <v>74377.39</v>
      </c>
      <c r="G1017" s="16" t="n">
        <f aca="false">ROUND(E1017+F1017,2)</f>
        <v>185290.65</v>
      </c>
    </row>
    <row r="1018" customFormat="false" ht="15" hidden="false" customHeight="false" outlineLevel="0" collapsed="false">
      <c r="A1018" s="14" t="s">
        <v>35</v>
      </c>
      <c r="B1018" s="14" t="n">
        <v>2024</v>
      </c>
      <c r="C1018" s="14" t="n">
        <v>5</v>
      </c>
      <c r="D1018" s="14" t="s">
        <v>54</v>
      </c>
      <c r="E1018" s="15" t="n">
        <v>116419.78</v>
      </c>
      <c r="F1018" s="15" t="n">
        <v>77470.02</v>
      </c>
      <c r="G1018" s="16" t="n">
        <f aca="false">ROUND(E1018+F1018,2)</f>
        <v>193889.8</v>
      </c>
    </row>
    <row r="1019" customFormat="false" ht="15" hidden="false" customHeight="false" outlineLevel="0" collapsed="false">
      <c r="A1019" s="14" t="s">
        <v>35</v>
      </c>
      <c r="B1019" s="14" t="n">
        <v>2024</v>
      </c>
      <c r="C1019" s="14" t="n">
        <v>6</v>
      </c>
      <c r="D1019" s="14" t="s">
        <v>55</v>
      </c>
      <c r="E1019" s="15" t="n">
        <v>53829.01</v>
      </c>
      <c r="F1019" s="15" t="n">
        <v>30842.42</v>
      </c>
      <c r="G1019" s="16" t="n">
        <f aca="false">ROUND(E1019+F1019,2)</f>
        <v>84671.43</v>
      </c>
    </row>
    <row r="1020" customFormat="false" ht="15" hidden="false" customHeight="false" outlineLevel="0" collapsed="false">
      <c r="A1020" s="14" t="s">
        <v>35</v>
      </c>
      <c r="B1020" s="14" t="n">
        <v>2024</v>
      </c>
      <c r="C1020" s="14" t="n">
        <v>7</v>
      </c>
      <c r="D1020" s="14" t="s">
        <v>56</v>
      </c>
      <c r="E1020" s="15" t="n">
        <v>120737.73</v>
      </c>
      <c r="F1020" s="15" t="n">
        <v>74550.08</v>
      </c>
      <c r="G1020" s="16" t="n">
        <f aca="false">ROUND(E1020+F1020,2)</f>
        <v>195287.81</v>
      </c>
    </row>
    <row r="1021" customFormat="false" ht="15" hidden="false" customHeight="false" outlineLevel="0" collapsed="false">
      <c r="A1021" s="14" t="s">
        <v>35</v>
      </c>
      <c r="B1021" s="14" t="n">
        <v>2024</v>
      </c>
      <c r="C1021" s="14" t="n">
        <v>8</v>
      </c>
      <c r="D1021" s="14" t="s">
        <v>57</v>
      </c>
      <c r="E1021" s="15" t="n">
        <v>117910.3</v>
      </c>
      <c r="F1021" s="15" t="n">
        <v>93257.56</v>
      </c>
      <c r="G1021" s="16" t="n">
        <f aca="false">ROUND(E1021+F1021,2)</f>
        <v>211167.86</v>
      </c>
    </row>
    <row r="1022" customFormat="false" ht="15" hidden="false" customHeight="false" outlineLevel="0" collapsed="false">
      <c r="A1022" s="14" t="s">
        <v>35</v>
      </c>
      <c r="B1022" s="14" t="n">
        <v>2024</v>
      </c>
      <c r="C1022" s="14" t="n">
        <v>9</v>
      </c>
      <c r="D1022" s="14" t="s">
        <v>58</v>
      </c>
      <c r="E1022" s="15" t="n">
        <v>105585.28</v>
      </c>
      <c r="F1022" s="15" t="n">
        <v>83944.39</v>
      </c>
      <c r="G1022" s="16" t="n">
        <f aca="false">ROUND(E1022+F1022,2)</f>
        <v>189529.67</v>
      </c>
    </row>
    <row r="1023" customFormat="false" ht="15" hidden="false" customHeight="false" outlineLevel="0" collapsed="false">
      <c r="A1023" s="14" t="s">
        <v>35</v>
      </c>
      <c r="B1023" s="14" t="n">
        <v>2024</v>
      </c>
      <c r="C1023" s="14" t="n">
        <v>10</v>
      </c>
      <c r="D1023" s="14" t="s">
        <v>59</v>
      </c>
      <c r="E1023" s="15" t="n">
        <v>124849.92</v>
      </c>
      <c r="F1023" s="15" t="n">
        <v>100409.74</v>
      </c>
      <c r="G1023" s="16" t="n">
        <f aca="false">ROUND(E1023+F1023,2)</f>
        <v>225259.66</v>
      </c>
    </row>
    <row r="1024" customFormat="false" ht="15" hidden="false" customHeight="false" outlineLevel="0" collapsed="false">
      <c r="A1024" s="14" t="s">
        <v>35</v>
      </c>
      <c r="B1024" s="14" t="n">
        <v>2024</v>
      </c>
      <c r="C1024" s="14" t="n">
        <v>11</v>
      </c>
      <c r="D1024" s="14" t="s">
        <v>60</v>
      </c>
      <c r="E1024" s="15" t="n">
        <v>119428.33</v>
      </c>
      <c r="F1024" s="15" t="n">
        <v>109760.86</v>
      </c>
      <c r="G1024" s="16" t="n">
        <f aca="false">ROUND(E1024+F1024,2)</f>
        <v>229189.19</v>
      </c>
    </row>
    <row r="1025" customFormat="false" ht="15" hidden="false" customHeight="false" outlineLevel="0" collapsed="false">
      <c r="A1025" s="14" t="s">
        <v>35</v>
      </c>
      <c r="B1025" s="14" t="n">
        <v>2024</v>
      </c>
      <c r="C1025" s="14" t="n">
        <v>12</v>
      </c>
      <c r="D1025" s="14" t="s">
        <v>61</v>
      </c>
      <c r="E1025" s="15" t="n">
        <v>129043.17</v>
      </c>
      <c r="F1025" s="15" t="n">
        <v>95655.45</v>
      </c>
      <c r="G1025" s="16" t="n">
        <f aca="false">ROUND(E1025+F1025,2)</f>
        <v>224698.62</v>
      </c>
    </row>
    <row r="1026" customFormat="false" ht="15" hidden="false" customHeight="false" outlineLevel="0" collapsed="false">
      <c r="A1026" s="14" t="s">
        <v>35</v>
      </c>
      <c r="B1026" s="14" t="n">
        <v>2025</v>
      </c>
      <c r="C1026" s="14" t="n">
        <v>1</v>
      </c>
      <c r="D1026" s="14" t="s">
        <v>50</v>
      </c>
      <c r="E1026" s="15" t="n">
        <v>130251.8</v>
      </c>
      <c r="F1026" s="15" t="n">
        <v>111089.88</v>
      </c>
      <c r="G1026" s="16" t="n">
        <f aca="false">ROUND(E1026+F1026,2)</f>
        <v>241341.68</v>
      </c>
    </row>
    <row r="1027" customFormat="false" ht="15" hidden="false" customHeight="false" outlineLevel="0" collapsed="false">
      <c r="A1027" s="14" t="s">
        <v>35</v>
      </c>
      <c r="B1027" s="14" t="n">
        <v>2025</v>
      </c>
      <c r="C1027" s="14" t="n">
        <v>2</v>
      </c>
      <c r="D1027" s="14" t="s">
        <v>51</v>
      </c>
      <c r="E1027" s="15" t="n">
        <v>135072.25</v>
      </c>
      <c r="F1027" s="15" t="n">
        <v>107335.19</v>
      </c>
      <c r="G1027" s="16" t="n">
        <f aca="false">ROUND(E1027+F1027,2)</f>
        <v>242407.44</v>
      </c>
    </row>
    <row r="1028" customFormat="false" ht="15" hidden="false" customHeight="false" outlineLevel="0" collapsed="false">
      <c r="A1028" s="14" t="s">
        <v>35</v>
      </c>
      <c r="B1028" s="14" t="n">
        <v>2025</v>
      </c>
      <c r="C1028" s="14" t="n">
        <v>3</v>
      </c>
      <c r="D1028" s="14" t="s">
        <v>52</v>
      </c>
      <c r="E1028" s="15" t="n">
        <v>134235.45</v>
      </c>
      <c r="F1028" s="15" t="n">
        <v>88662.3</v>
      </c>
      <c r="G1028" s="16" t="n">
        <f aca="false">ROUND(E1028+F1028,2)</f>
        <v>222897.75</v>
      </c>
    </row>
    <row r="1029" customFormat="false" ht="15" hidden="false" customHeight="false" outlineLevel="0" collapsed="false">
      <c r="A1029" s="14" t="s">
        <v>35</v>
      </c>
      <c r="B1029" s="14" t="n">
        <v>2025</v>
      </c>
      <c r="C1029" s="14" t="n">
        <v>4</v>
      </c>
      <c r="D1029" s="14" t="s">
        <v>53</v>
      </c>
      <c r="E1029" s="15" t="n">
        <v>138057.04</v>
      </c>
      <c r="F1029" s="15" t="n">
        <v>94643.22</v>
      </c>
      <c r="G1029" s="16" t="n">
        <f aca="false">ROUND(E1029+F1029,2)</f>
        <v>232700.26</v>
      </c>
    </row>
    <row r="1030" customFormat="false" ht="15" hidden="false" customHeight="false" outlineLevel="0" collapsed="false">
      <c r="A1030" s="14" t="s">
        <v>35</v>
      </c>
      <c r="B1030" s="14" t="n">
        <v>2025</v>
      </c>
      <c r="C1030" s="14" t="n">
        <v>5</v>
      </c>
      <c r="D1030" s="14" t="s">
        <v>54</v>
      </c>
      <c r="E1030" s="15" t="n">
        <v>131715.77</v>
      </c>
      <c r="F1030" s="15" t="n">
        <v>82133.76</v>
      </c>
      <c r="G1030" s="16" t="n">
        <f aca="false">ROUND(E1030+F1030,2)</f>
        <v>213849.53</v>
      </c>
    </row>
    <row r="1031" customFormat="false" ht="15" hidden="false" customHeight="false" outlineLevel="0" collapsed="false">
      <c r="A1031" s="14" t="s">
        <v>35</v>
      </c>
      <c r="B1031" s="14" t="n">
        <v>2025</v>
      </c>
      <c r="C1031" s="14" t="n">
        <v>6</v>
      </c>
      <c r="D1031" s="14" t="s">
        <v>55</v>
      </c>
      <c r="E1031" s="15" t="n">
        <v>136026.99</v>
      </c>
      <c r="F1031" s="15" t="n">
        <v>99402.76</v>
      </c>
      <c r="G1031" s="16" t="n">
        <f aca="false">ROUND(E1031+F1031,2)</f>
        <v>235429.75</v>
      </c>
    </row>
    <row r="1032" customFormat="false" ht="15" hidden="false" customHeight="false" outlineLevel="0" collapsed="false">
      <c r="A1032" s="14" t="s">
        <v>35</v>
      </c>
      <c r="B1032" s="14" t="n">
        <v>2025</v>
      </c>
      <c r="C1032" s="14" t="n">
        <v>7</v>
      </c>
      <c r="D1032" s="14" t="s">
        <v>56</v>
      </c>
      <c r="E1032" s="15" t="n">
        <v>135238.17</v>
      </c>
      <c r="F1032" s="15" t="n">
        <v>99117.79</v>
      </c>
      <c r="G1032" s="16" t="n">
        <f aca="false">ROUND(E1032+F1032,2)</f>
        <v>234355.96</v>
      </c>
    </row>
    <row r="1033" customFormat="false" ht="15" hidden="false" customHeight="false" outlineLevel="0" collapsed="false">
      <c r="A1033" s="14" t="s">
        <v>35</v>
      </c>
      <c r="B1033" s="14" t="n">
        <v>2025</v>
      </c>
      <c r="C1033" s="14" t="n">
        <v>8</v>
      </c>
      <c r="D1033" s="14" t="s">
        <v>57</v>
      </c>
      <c r="E1033" s="15" t="n">
        <v>131895.19</v>
      </c>
      <c r="F1033" s="15" t="n">
        <v>95529.54</v>
      </c>
      <c r="G1033" s="16" t="n">
        <f aca="false">ROUND(E1033+F1033,2)</f>
        <v>227424.73</v>
      </c>
    </row>
    <row r="1034" customFormat="false" ht="15" hidden="false" customHeight="false" outlineLevel="0" collapsed="false">
      <c r="A1034" s="14" t="s">
        <v>35</v>
      </c>
      <c r="B1034" s="14" t="n">
        <v>2025</v>
      </c>
      <c r="C1034" s="14" t="n">
        <v>9</v>
      </c>
      <c r="D1034" s="14" t="s">
        <v>58</v>
      </c>
      <c r="E1034" s="15" t="n">
        <v>152971.81</v>
      </c>
      <c r="F1034" s="15" t="n">
        <v>116661.11</v>
      </c>
      <c r="G1034" s="16" t="n">
        <f aca="false">ROUND(E1034+F1034,2)</f>
        <v>269632.92</v>
      </c>
    </row>
    <row r="1035" customFormat="false" ht="15" hidden="false" customHeight="false" outlineLevel="0" collapsed="false">
      <c r="A1035" s="14" t="s">
        <v>35</v>
      </c>
      <c r="B1035" s="14" t="n">
        <v>2025</v>
      </c>
      <c r="C1035" s="14" t="n">
        <v>10</v>
      </c>
      <c r="D1035" s="14" t="s">
        <v>59</v>
      </c>
      <c r="E1035" s="15" t="n">
        <v>127092.22</v>
      </c>
      <c r="F1035" s="15" t="n">
        <v>120197.78</v>
      </c>
      <c r="G1035" s="16" t="n">
        <f aca="false">ROUND(E1035+F1035,2)</f>
        <v>247290</v>
      </c>
    </row>
    <row r="1036" customFormat="false" ht="15" hidden="false" customHeight="false" outlineLevel="0" collapsed="false">
      <c r="A1036" s="14" t="s">
        <v>35</v>
      </c>
      <c r="B1036" s="14" t="n">
        <v>2025</v>
      </c>
      <c r="C1036" s="14" t="n">
        <v>11</v>
      </c>
      <c r="D1036" s="14" t="s">
        <v>60</v>
      </c>
      <c r="E1036" s="15" t="n">
        <v>114555.94</v>
      </c>
      <c r="F1036" s="15" t="n">
        <v>80070.09</v>
      </c>
      <c r="G1036" s="16" t="n">
        <f aca="false">ROUND(E1036+F1036,2)</f>
        <v>194626.03</v>
      </c>
    </row>
    <row r="1037" customFormat="false" ht="15" hidden="false" customHeight="false" outlineLevel="0" collapsed="false">
      <c r="A1037" s="14" t="s">
        <v>35</v>
      </c>
      <c r="B1037" s="14" t="n">
        <v>2025</v>
      </c>
      <c r="C1037" s="14" t="n">
        <v>12</v>
      </c>
      <c r="D1037" s="14" t="s">
        <v>61</v>
      </c>
      <c r="E1037" s="15" t="n">
        <v>121970.47</v>
      </c>
      <c r="F1037" s="15" t="n">
        <v>100269.39</v>
      </c>
      <c r="G1037" s="16" t="n">
        <f aca="false">ROUND(E1037+F1037,2)</f>
        <v>222239.86</v>
      </c>
    </row>
    <row r="1038" customFormat="false" ht="15" hidden="false" customHeight="false" outlineLevel="0" collapsed="false">
      <c r="A1038" s="14" t="s">
        <v>35</v>
      </c>
      <c r="B1038" s="14" t="n">
        <v>2026</v>
      </c>
      <c r="C1038" s="14" t="n">
        <v>1</v>
      </c>
      <c r="D1038" s="14" t="s">
        <v>50</v>
      </c>
      <c r="E1038" s="15" t="n">
        <v>125432.41</v>
      </c>
      <c r="F1038" s="15" t="n">
        <v>94693.94</v>
      </c>
      <c r="G1038" s="16" t="n">
        <f aca="false">ROUND(E1038+F1038,2)</f>
        <v>220126.35</v>
      </c>
    </row>
    <row r="1039" customFormat="false" ht="15" hidden="false" customHeight="false" outlineLevel="0" collapsed="false">
      <c r="A1039" s="14" t="s">
        <v>35</v>
      </c>
      <c r="B1039" s="14" t="n">
        <v>2026</v>
      </c>
      <c r="C1039" s="14" t="n">
        <v>2</v>
      </c>
      <c r="D1039" s="14" t="s">
        <v>51</v>
      </c>
      <c r="E1039" s="15" t="n">
        <v>134497.26</v>
      </c>
      <c r="F1039" s="15" t="n">
        <v>91432.01</v>
      </c>
      <c r="G1039" s="16" t="n">
        <f aca="false">ROUND(E1039+F1039,2)</f>
        <v>225929.27</v>
      </c>
    </row>
    <row r="1040" customFormat="false" ht="15" hidden="false" customHeight="false" outlineLevel="0" collapsed="false">
      <c r="A1040" s="14" t="s">
        <v>35</v>
      </c>
      <c r="B1040" s="14" t="n">
        <v>2026</v>
      </c>
      <c r="C1040" s="14" t="n">
        <v>3</v>
      </c>
      <c r="D1040" s="14" t="s">
        <v>52</v>
      </c>
      <c r="E1040" s="15" t="n">
        <v>137502.63</v>
      </c>
      <c r="F1040" s="15" t="n">
        <v>97761.8</v>
      </c>
      <c r="G1040" s="16" t="n">
        <f aca="false">ROUND(E1040+F1040,2)</f>
        <v>235264.43</v>
      </c>
    </row>
    <row r="1041" customFormat="false" ht="15" hidden="false" customHeight="false" outlineLevel="0" collapsed="false">
      <c r="A1041" s="14" t="s">
        <v>35</v>
      </c>
      <c r="B1041" s="14" t="n">
        <v>2026</v>
      </c>
      <c r="C1041" s="14" t="n">
        <v>4</v>
      </c>
      <c r="D1041" s="14" t="s">
        <v>53</v>
      </c>
      <c r="E1041" s="15" t="n">
        <v>157909.72</v>
      </c>
      <c r="F1041" s="15" t="n">
        <v>110143.09</v>
      </c>
      <c r="G1041" s="16" t="n">
        <f aca="false">ROUND(E1041+F1041,2)</f>
        <v>268052.81</v>
      </c>
    </row>
    <row r="1042" customFormat="false" ht="15" hidden="false" customHeight="false" outlineLevel="0" collapsed="false">
      <c r="A1042" s="14" t="s">
        <v>35</v>
      </c>
      <c r="B1042" s="14" t="n">
        <v>2026</v>
      </c>
      <c r="C1042" s="14" t="n">
        <v>5</v>
      </c>
      <c r="D1042" s="14" t="s">
        <v>54</v>
      </c>
      <c r="E1042" s="15" t="n">
        <v>150491.06</v>
      </c>
      <c r="F1042" s="15" t="n">
        <v>85908.27</v>
      </c>
      <c r="G1042" s="16" t="n">
        <f aca="false">ROUND(E1042+F1042,2)</f>
        <v>236399.33</v>
      </c>
    </row>
    <row r="1043" customFormat="false" ht="15" hidden="false" customHeight="false" outlineLevel="0" collapsed="false">
      <c r="A1043" s="14" t="s">
        <v>35</v>
      </c>
      <c r="B1043" s="14" t="n">
        <v>2026</v>
      </c>
      <c r="C1043" s="14" t="n">
        <v>6</v>
      </c>
      <c r="D1043" s="14" t="s">
        <v>55</v>
      </c>
      <c r="E1043" s="15" t="n">
        <v>154136.1</v>
      </c>
      <c r="F1043" s="15" t="n">
        <v>92150</v>
      </c>
      <c r="G1043" s="16" t="n">
        <f aca="false">ROUND(E1043+F1043,2)</f>
        <v>246286.1</v>
      </c>
    </row>
    <row r="1044" customFormat="false" ht="15" hidden="false" customHeight="false" outlineLevel="0" collapsed="false">
      <c r="A1044" s="14" t="s">
        <v>35</v>
      </c>
      <c r="B1044" s="14" t="n">
        <v>2026</v>
      </c>
      <c r="C1044" s="14" t="n">
        <v>7</v>
      </c>
      <c r="D1044" s="14" t="s">
        <v>56</v>
      </c>
      <c r="E1044" s="15" t="n">
        <v>187252.61</v>
      </c>
      <c r="F1044" s="15" t="n">
        <v>133836.88</v>
      </c>
      <c r="G1044" s="16" t="n">
        <f aca="false">ROUND(E1044+F1044,2)</f>
        <v>321089.49</v>
      </c>
    </row>
    <row r="1045" customFormat="false" ht="15" hidden="false" customHeight="false" outlineLevel="0" collapsed="false">
      <c r="A1045" s="14" t="s">
        <v>26</v>
      </c>
      <c r="B1045" s="14" t="n">
        <v>2021</v>
      </c>
      <c r="C1045" s="14" t="n">
        <v>1</v>
      </c>
      <c r="D1045" s="14" t="s">
        <v>50</v>
      </c>
      <c r="E1045" s="15" t="n">
        <v>135439.29</v>
      </c>
      <c r="F1045" s="15" t="n">
        <v>85049.44</v>
      </c>
      <c r="G1045" s="16" t="n">
        <f aca="false">ROUND(E1045+F1045,2)</f>
        <v>220488.73</v>
      </c>
    </row>
    <row r="1046" customFormat="false" ht="15" hidden="false" customHeight="false" outlineLevel="0" collapsed="false">
      <c r="A1046" s="14" t="s">
        <v>26</v>
      </c>
      <c r="B1046" s="14" t="n">
        <v>2021</v>
      </c>
      <c r="C1046" s="14" t="n">
        <v>2</v>
      </c>
      <c r="D1046" s="14" t="s">
        <v>51</v>
      </c>
      <c r="E1046" s="15" t="n">
        <v>131446.53</v>
      </c>
      <c r="F1046" s="15" t="n">
        <v>70902.15</v>
      </c>
      <c r="G1046" s="16" t="n">
        <f aca="false">ROUND(E1046+F1046,2)</f>
        <v>202348.68</v>
      </c>
    </row>
    <row r="1047" customFormat="false" ht="15" hidden="false" customHeight="false" outlineLevel="0" collapsed="false">
      <c r="A1047" s="14" t="s">
        <v>26</v>
      </c>
      <c r="B1047" s="14" t="n">
        <v>2021</v>
      </c>
      <c r="C1047" s="14" t="n">
        <v>3</v>
      </c>
      <c r="D1047" s="14" t="s">
        <v>52</v>
      </c>
      <c r="E1047" s="15" t="n">
        <v>168568.17</v>
      </c>
      <c r="F1047" s="15" t="n">
        <v>98238.61</v>
      </c>
      <c r="G1047" s="16" t="n">
        <f aca="false">ROUND(E1047+F1047,2)</f>
        <v>266806.78</v>
      </c>
    </row>
    <row r="1048" customFormat="false" ht="15" hidden="false" customHeight="false" outlineLevel="0" collapsed="false">
      <c r="A1048" s="14" t="s">
        <v>26</v>
      </c>
      <c r="B1048" s="14" t="n">
        <v>2021</v>
      </c>
      <c r="C1048" s="14" t="n">
        <v>4</v>
      </c>
      <c r="D1048" s="14" t="s">
        <v>53</v>
      </c>
      <c r="E1048" s="15" t="n">
        <v>186531.56</v>
      </c>
      <c r="F1048" s="15" t="n">
        <v>104444.38</v>
      </c>
      <c r="G1048" s="16" t="n">
        <f aca="false">ROUND(E1048+F1048,2)</f>
        <v>290975.94</v>
      </c>
    </row>
    <row r="1049" customFormat="false" ht="15" hidden="false" customHeight="false" outlineLevel="0" collapsed="false">
      <c r="A1049" s="14" t="s">
        <v>26</v>
      </c>
      <c r="B1049" s="14" t="n">
        <v>2021</v>
      </c>
      <c r="C1049" s="14" t="n">
        <v>5</v>
      </c>
      <c r="D1049" s="14" t="s">
        <v>54</v>
      </c>
      <c r="E1049" s="15" t="n">
        <v>171882.41</v>
      </c>
      <c r="F1049" s="15" t="n">
        <v>99487.22</v>
      </c>
      <c r="G1049" s="16" t="n">
        <f aca="false">ROUND(E1049+F1049,2)</f>
        <v>271369.63</v>
      </c>
    </row>
    <row r="1050" customFormat="false" ht="15" hidden="false" customHeight="false" outlineLevel="0" collapsed="false">
      <c r="A1050" s="14" t="s">
        <v>26</v>
      </c>
      <c r="B1050" s="14" t="n">
        <v>2021</v>
      </c>
      <c r="C1050" s="14" t="n">
        <v>6</v>
      </c>
      <c r="D1050" s="14" t="s">
        <v>55</v>
      </c>
      <c r="E1050" s="15" t="n">
        <v>174041.63</v>
      </c>
      <c r="F1050" s="15" t="n">
        <v>103363.52</v>
      </c>
      <c r="G1050" s="16" t="n">
        <f aca="false">ROUND(E1050+F1050,2)</f>
        <v>277405.15</v>
      </c>
    </row>
    <row r="1051" customFormat="false" ht="15" hidden="false" customHeight="false" outlineLevel="0" collapsed="false">
      <c r="A1051" s="14" t="s">
        <v>26</v>
      </c>
      <c r="B1051" s="14" t="n">
        <v>2021</v>
      </c>
      <c r="C1051" s="14" t="n">
        <v>7</v>
      </c>
      <c r="D1051" s="14" t="s">
        <v>56</v>
      </c>
      <c r="E1051" s="15" t="n">
        <v>166799.56</v>
      </c>
      <c r="F1051" s="15" t="n">
        <v>101603.75</v>
      </c>
      <c r="G1051" s="16" t="n">
        <f aca="false">ROUND(E1051+F1051,2)</f>
        <v>268403.31</v>
      </c>
    </row>
    <row r="1052" customFormat="false" ht="15" hidden="false" customHeight="false" outlineLevel="0" collapsed="false">
      <c r="A1052" s="14" t="s">
        <v>26</v>
      </c>
      <c r="B1052" s="14" t="n">
        <v>2021</v>
      </c>
      <c r="C1052" s="14" t="n">
        <v>8</v>
      </c>
      <c r="D1052" s="14" t="s">
        <v>57</v>
      </c>
      <c r="E1052" s="15" t="n">
        <v>177943.14</v>
      </c>
      <c r="F1052" s="15" t="n">
        <v>121885.62</v>
      </c>
      <c r="G1052" s="16" t="n">
        <f aca="false">ROUND(E1052+F1052,2)</f>
        <v>299828.76</v>
      </c>
    </row>
    <row r="1053" customFormat="false" ht="15" hidden="false" customHeight="false" outlineLevel="0" collapsed="false">
      <c r="A1053" s="14" t="s">
        <v>26</v>
      </c>
      <c r="B1053" s="14" t="n">
        <v>2021</v>
      </c>
      <c r="C1053" s="14" t="n">
        <v>9</v>
      </c>
      <c r="D1053" s="14" t="s">
        <v>58</v>
      </c>
      <c r="E1053" s="15" t="n">
        <v>164052.89</v>
      </c>
      <c r="F1053" s="15" t="n">
        <v>92749.59</v>
      </c>
      <c r="G1053" s="16" t="n">
        <f aca="false">ROUND(E1053+F1053,2)</f>
        <v>256802.48</v>
      </c>
    </row>
    <row r="1054" customFormat="false" ht="15" hidden="false" customHeight="false" outlineLevel="0" collapsed="false">
      <c r="A1054" s="14" t="s">
        <v>26</v>
      </c>
      <c r="B1054" s="14" t="n">
        <v>2021</v>
      </c>
      <c r="C1054" s="14" t="n">
        <v>10</v>
      </c>
      <c r="D1054" s="14" t="s">
        <v>59</v>
      </c>
      <c r="E1054" s="15" t="n">
        <v>163738.38</v>
      </c>
      <c r="F1054" s="15" t="n">
        <v>109620.78</v>
      </c>
      <c r="G1054" s="16" t="n">
        <f aca="false">ROUND(E1054+F1054,2)</f>
        <v>273359.16</v>
      </c>
    </row>
    <row r="1055" customFormat="false" ht="15" hidden="false" customHeight="false" outlineLevel="0" collapsed="false">
      <c r="A1055" s="14" t="s">
        <v>26</v>
      </c>
      <c r="B1055" s="14" t="n">
        <v>2021</v>
      </c>
      <c r="C1055" s="14" t="n">
        <v>11</v>
      </c>
      <c r="D1055" s="14" t="s">
        <v>60</v>
      </c>
      <c r="E1055" s="15" t="n">
        <v>154367.98</v>
      </c>
      <c r="F1055" s="15" t="n">
        <v>96980.83</v>
      </c>
      <c r="G1055" s="16" t="n">
        <f aca="false">ROUND(E1055+F1055,2)</f>
        <v>251348.81</v>
      </c>
    </row>
    <row r="1056" customFormat="false" ht="15" hidden="false" customHeight="false" outlineLevel="0" collapsed="false">
      <c r="A1056" s="14" t="s">
        <v>26</v>
      </c>
      <c r="B1056" s="14" t="n">
        <v>2021</v>
      </c>
      <c r="C1056" s="14" t="n">
        <v>12</v>
      </c>
      <c r="D1056" s="14" t="s">
        <v>61</v>
      </c>
      <c r="E1056" s="15" t="n">
        <v>149410.12</v>
      </c>
      <c r="F1056" s="15" t="n">
        <v>95662.41</v>
      </c>
      <c r="G1056" s="16" t="n">
        <f aca="false">ROUND(E1056+F1056,2)</f>
        <v>245072.53</v>
      </c>
    </row>
    <row r="1057" customFormat="false" ht="15" hidden="false" customHeight="false" outlineLevel="0" collapsed="false">
      <c r="A1057" s="14" t="s">
        <v>26</v>
      </c>
      <c r="B1057" s="14" t="n">
        <v>2022</v>
      </c>
      <c r="C1057" s="14" t="n">
        <v>1</v>
      </c>
      <c r="D1057" s="14" t="s">
        <v>50</v>
      </c>
      <c r="E1057" s="15" t="n">
        <v>120287</v>
      </c>
      <c r="F1057" s="15" t="n">
        <v>96343.66</v>
      </c>
      <c r="G1057" s="16" t="n">
        <f aca="false">ROUND(E1057+F1057,2)</f>
        <v>216630.66</v>
      </c>
    </row>
    <row r="1058" customFormat="false" ht="15" hidden="false" customHeight="false" outlineLevel="0" collapsed="false">
      <c r="A1058" s="14" t="s">
        <v>26</v>
      </c>
      <c r="B1058" s="14" t="n">
        <v>2022</v>
      </c>
      <c r="C1058" s="14" t="n">
        <v>2</v>
      </c>
      <c r="D1058" s="14" t="s">
        <v>51</v>
      </c>
      <c r="E1058" s="15" t="n">
        <v>127764.54</v>
      </c>
      <c r="F1058" s="15" t="n">
        <v>104205.13</v>
      </c>
      <c r="G1058" s="16" t="n">
        <f aca="false">ROUND(E1058+F1058,2)</f>
        <v>231969.67</v>
      </c>
    </row>
    <row r="1059" customFormat="false" ht="15" hidden="false" customHeight="false" outlineLevel="0" collapsed="false">
      <c r="A1059" s="14" t="s">
        <v>26</v>
      </c>
      <c r="B1059" s="14" t="n">
        <v>2022</v>
      </c>
      <c r="C1059" s="14" t="n">
        <v>3</v>
      </c>
      <c r="D1059" s="14" t="s">
        <v>52</v>
      </c>
      <c r="E1059" s="15" t="n">
        <v>175478.44</v>
      </c>
      <c r="F1059" s="15" t="n">
        <v>116241.79</v>
      </c>
      <c r="G1059" s="16" t="n">
        <f aca="false">ROUND(E1059+F1059,2)</f>
        <v>291720.23</v>
      </c>
    </row>
    <row r="1060" customFormat="false" ht="15" hidden="false" customHeight="false" outlineLevel="0" collapsed="false">
      <c r="A1060" s="14" t="s">
        <v>26</v>
      </c>
      <c r="B1060" s="14" t="n">
        <v>2022</v>
      </c>
      <c r="C1060" s="14" t="n">
        <v>4</v>
      </c>
      <c r="D1060" s="14" t="s">
        <v>53</v>
      </c>
      <c r="E1060" s="15" t="n">
        <v>151960.21</v>
      </c>
      <c r="F1060" s="15" t="n">
        <v>98063.62</v>
      </c>
      <c r="G1060" s="16" t="n">
        <f aca="false">ROUND(E1060+F1060,2)</f>
        <v>250023.83</v>
      </c>
    </row>
    <row r="1061" customFormat="false" ht="15" hidden="false" customHeight="false" outlineLevel="0" collapsed="false">
      <c r="A1061" s="14" t="s">
        <v>26</v>
      </c>
      <c r="B1061" s="14" t="n">
        <v>2022</v>
      </c>
      <c r="C1061" s="14" t="n">
        <v>5</v>
      </c>
      <c r="D1061" s="14" t="s">
        <v>54</v>
      </c>
      <c r="E1061" s="15" t="n">
        <v>158771.9</v>
      </c>
      <c r="F1061" s="15" t="n">
        <v>101106.99</v>
      </c>
      <c r="G1061" s="16" t="n">
        <f aca="false">ROUND(E1061+F1061,2)</f>
        <v>259878.89</v>
      </c>
    </row>
    <row r="1062" customFormat="false" ht="15" hidden="false" customHeight="false" outlineLevel="0" collapsed="false">
      <c r="A1062" s="14" t="s">
        <v>26</v>
      </c>
      <c r="B1062" s="14" t="n">
        <v>2022</v>
      </c>
      <c r="C1062" s="14" t="n">
        <v>6</v>
      </c>
      <c r="D1062" s="14" t="s">
        <v>55</v>
      </c>
      <c r="E1062" s="15" t="n">
        <v>158190.2</v>
      </c>
      <c r="F1062" s="15" t="n">
        <v>112763.16</v>
      </c>
      <c r="G1062" s="16" t="n">
        <f aca="false">ROUND(E1062+F1062,2)</f>
        <v>270953.36</v>
      </c>
    </row>
    <row r="1063" customFormat="false" ht="15" hidden="false" customHeight="false" outlineLevel="0" collapsed="false">
      <c r="A1063" s="14" t="s">
        <v>26</v>
      </c>
      <c r="B1063" s="14" t="n">
        <v>2022</v>
      </c>
      <c r="C1063" s="14" t="n">
        <v>7</v>
      </c>
      <c r="D1063" s="14" t="s">
        <v>56</v>
      </c>
      <c r="E1063" s="15" t="n">
        <v>161271.28</v>
      </c>
      <c r="F1063" s="15" t="n">
        <v>112096.33</v>
      </c>
      <c r="G1063" s="16" t="n">
        <f aca="false">ROUND(E1063+F1063,2)</f>
        <v>273367.61</v>
      </c>
    </row>
    <row r="1064" customFormat="false" ht="15" hidden="false" customHeight="false" outlineLevel="0" collapsed="false">
      <c r="A1064" s="14" t="s">
        <v>26</v>
      </c>
      <c r="B1064" s="14" t="n">
        <v>2022</v>
      </c>
      <c r="C1064" s="14" t="n">
        <v>8</v>
      </c>
      <c r="D1064" s="14" t="s">
        <v>57</v>
      </c>
      <c r="E1064" s="15" t="n">
        <v>192089.92</v>
      </c>
      <c r="F1064" s="15" t="n">
        <v>121761.99</v>
      </c>
      <c r="G1064" s="16" t="n">
        <f aca="false">ROUND(E1064+F1064,2)</f>
        <v>313851.91</v>
      </c>
    </row>
    <row r="1065" customFormat="false" ht="15" hidden="false" customHeight="false" outlineLevel="0" collapsed="false">
      <c r="A1065" s="14" t="s">
        <v>26</v>
      </c>
      <c r="B1065" s="14" t="n">
        <v>2022</v>
      </c>
      <c r="C1065" s="14" t="n">
        <v>9</v>
      </c>
      <c r="D1065" s="14" t="s">
        <v>58</v>
      </c>
      <c r="E1065" s="15" t="n">
        <v>170771.3</v>
      </c>
      <c r="F1065" s="15" t="n">
        <v>113515.86</v>
      </c>
      <c r="G1065" s="16" t="n">
        <f aca="false">ROUND(E1065+F1065,2)</f>
        <v>284287.16</v>
      </c>
    </row>
    <row r="1066" customFormat="false" ht="15" hidden="false" customHeight="false" outlineLevel="0" collapsed="false">
      <c r="A1066" s="14" t="s">
        <v>26</v>
      </c>
      <c r="B1066" s="14" t="n">
        <v>2022</v>
      </c>
      <c r="C1066" s="14" t="n">
        <v>10</v>
      </c>
      <c r="D1066" s="14" t="s">
        <v>59</v>
      </c>
      <c r="E1066" s="15" t="n">
        <v>180677.66</v>
      </c>
      <c r="F1066" s="15" t="n">
        <v>121142.33</v>
      </c>
      <c r="G1066" s="16" t="n">
        <f aca="false">ROUND(E1066+F1066,2)</f>
        <v>301819.99</v>
      </c>
    </row>
    <row r="1067" customFormat="false" ht="15" hidden="false" customHeight="false" outlineLevel="0" collapsed="false">
      <c r="A1067" s="14" t="s">
        <v>26</v>
      </c>
      <c r="B1067" s="14" t="n">
        <v>2022</v>
      </c>
      <c r="C1067" s="14" t="n">
        <v>11</v>
      </c>
      <c r="D1067" s="14" t="s">
        <v>60</v>
      </c>
      <c r="E1067" s="15" t="n">
        <v>158919.64</v>
      </c>
      <c r="F1067" s="15" t="n">
        <v>99973.12</v>
      </c>
      <c r="G1067" s="16" t="n">
        <f aca="false">ROUND(E1067+F1067,2)</f>
        <v>258892.76</v>
      </c>
    </row>
    <row r="1068" customFormat="false" ht="15" hidden="false" customHeight="false" outlineLevel="0" collapsed="false">
      <c r="A1068" s="14" t="s">
        <v>26</v>
      </c>
      <c r="B1068" s="14" t="n">
        <v>2022</v>
      </c>
      <c r="C1068" s="14" t="n">
        <v>12</v>
      </c>
      <c r="D1068" s="14" t="s">
        <v>61</v>
      </c>
      <c r="E1068" s="15" t="n">
        <v>126953.83</v>
      </c>
      <c r="F1068" s="15" t="n">
        <v>101963.29</v>
      </c>
      <c r="G1068" s="16" t="n">
        <f aca="false">ROUND(E1068+F1068,2)</f>
        <v>228917.12</v>
      </c>
    </row>
    <row r="1069" customFormat="false" ht="15" hidden="false" customHeight="false" outlineLevel="0" collapsed="false">
      <c r="A1069" s="14" t="s">
        <v>26</v>
      </c>
      <c r="B1069" s="14" t="n">
        <v>2023</v>
      </c>
      <c r="C1069" s="14" t="n">
        <v>1</v>
      </c>
      <c r="D1069" s="14" t="s">
        <v>50</v>
      </c>
      <c r="E1069" s="15" t="n">
        <v>154108.26</v>
      </c>
      <c r="F1069" s="15" t="n">
        <v>120915.23</v>
      </c>
      <c r="G1069" s="16" t="n">
        <f aca="false">ROUND(E1069+F1069,2)</f>
        <v>275023.49</v>
      </c>
    </row>
    <row r="1070" customFormat="false" ht="15" hidden="false" customHeight="false" outlineLevel="0" collapsed="false">
      <c r="A1070" s="14" t="s">
        <v>26</v>
      </c>
      <c r="B1070" s="14" t="n">
        <v>2023</v>
      </c>
      <c r="C1070" s="14" t="n">
        <v>2</v>
      </c>
      <c r="D1070" s="14" t="s">
        <v>51</v>
      </c>
      <c r="E1070" s="15" t="n">
        <v>146410.96</v>
      </c>
      <c r="F1070" s="15" t="n">
        <v>94000.93</v>
      </c>
      <c r="G1070" s="16" t="n">
        <f aca="false">ROUND(E1070+F1070,2)</f>
        <v>240411.89</v>
      </c>
    </row>
    <row r="1071" customFormat="false" ht="15" hidden="false" customHeight="false" outlineLevel="0" collapsed="false">
      <c r="A1071" s="14" t="s">
        <v>26</v>
      </c>
      <c r="B1071" s="14" t="n">
        <v>2023</v>
      </c>
      <c r="C1071" s="14" t="n">
        <v>3</v>
      </c>
      <c r="D1071" s="14" t="s">
        <v>52</v>
      </c>
      <c r="E1071" s="15" t="n">
        <v>175535.47</v>
      </c>
      <c r="F1071" s="15" t="n">
        <v>114841.17</v>
      </c>
      <c r="G1071" s="16" t="n">
        <f aca="false">ROUND(E1071+F1071,2)</f>
        <v>290376.64</v>
      </c>
    </row>
    <row r="1072" customFormat="false" ht="15" hidden="false" customHeight="false" outlineLevel="0" collapsed="false">
      <c r="A1072" s="14" t="s">
        <v>26</v>
      </c>
      <c r="B1072" s="14" t="n">
        <v>2023</v>
      </c>
      <c r="C1072" s="14" t="n">
        <v>4</v>
      </c>
      <c r="D1072" s="14" t="s">
        <v>53</v>
      </c>
      <c r="E1072" s="15" t="n">
        <v>168987.15</v>
      </c>
      <c r="F1072" s="15" t="n">
        <v>100396.83</v>
      </c>
      <c r="G1072" s="16" t="n">
        <f aca="false">ROUND(E1072+F1072,2)</f>
        <v>269383.98</v>
      </c>
    </row>
    <row r="1073" customFormat="false" ht="15" hidden="false" customHeight="false" outlineLevel="0" collapsed="false">
      <c r="A1073" s="14" t="s">
        <v>26</v>
      </c>
      <c r="B1073" s="14" t="n">
        <v>2023</v>
      </c>
      <c r="C1073" s="14" t="n">
        <v>5</v>
      </c>
      <c r="D1073" s="14" t="s">
        <v>54</v>
      </c>
      <c r="E1073" s="15" t="n">
        <v>199769.01</v>
      </c>
      <c r="F1073" s="15" t="n">
        <v>128186.99</v>
      </c>
      <c r="G1073" s="16" t="n">
        <f aca="false">ROUND(E1073+F1073,2)</f>
        <v>327956</v>
      </c>
    </row>
    <row r="1074" customFormat="false" ht="15" hidden="false" customHeight="false" outlineLevel="0" collapsed="false">
      <c r="A1074" s="14" t="s">
        <v>26</v>
      </c>
      <c r="B1074" s="14" t="n">
        <v>2023</v>
      </c>
      <c r="C1074" s="14" t="n">
        <v>6</v>
      </c>
      <c r="D1074" s="14" t="s">
        <v>55</v>
      </c>
      <c r="E1074" s="15" t="n">
        <v>180024.28</v>
      </c>
      <c r="F1074" s="15" t="n">
        <v>115357.04</v>
      </c>
      <c r="G1074" s="16" t="n">
        <f aca="false">ROUND(E1074+F1074,2)</f>
        <v>295381.32</v>
      </c>
    </row>
    <row r="1075" customFormat="false" ht="15" hidden="false" customHeight="false" outlineLevel="0" collapsed="false">
      <c r="A1075" s="14" t="s">
        <v>26</v>
      </c>
      <c r="B1075" s="14" t="n">
        <v>2023</v>
      </c>
      <c r="C1075" s="14" t="n">
        <v>7</v>
      </c>
      <c r="D1075" s="14" t="s">
        <v>56</v>
      </c>
      <c r="E1075" s="15" t="n">
        <v>163570.89</v>
      </c>
      <c r="F1075" s="15" t="n">
        <v>105065.49</v>
      </c>
      <c r="G1075" s="16" t="n">
        <f aca="false">ROUND(E1075+F1075,2)</f>
        <v>268636.38</v>
      </c>
    </row>
    <row r="1076" customFormat="false" ht="15" hidden="false" customHeight="false" outlineLevel="0" collapsed="false">
      <c r="A1076" s="14" t="s">
        <v>26</v>
      </c>
      <c r="B1076" s="14" t="n">
        <v>2023</v>
      </c>
      <c r="C1076" s="14" t="n">
        <v>8</v>
      </c>
      <c r="D1076" s="14" t="s">
        <v>57</v>
      </c>
      <c r="E1076" s="15" t="n">
        <v>195709.02</v>
      </c>
      <c r="F1076" s="15" t="n">
        <v>122637.58</v>
      </c>
      <c r="G1076" s="16" t="n">
        <f aca="false">ROUND(E1076+F1076,2)</f>
        <v>318346.6</v>
      </c>
    </row>
    <row r="1077" customFormat="false" ht="15" hidden="false" customHeight="false" outlineLevel="0" collapsed="false">
      <c r="A1077" s="14" t="s">
        <v>26</v>
      </c>
      <c r="B1077" s="14" t="n">
        <v>2023</v>
      </c>
      <c r="C1077" s="14" t="n">
        <v>9</v>
      </c>
      <c r="D1077" s="14" t="s">
        <v>58</v>
      </c>
      <c r="E1077" s="15" t="n">
        <v>197659.36</v>
      </c>
      <c r="F1077" s="15" t="n">
        <v>136625.26</v>
      </c>
      <c r="G1077" s="16" t="n">
        <f aca="false">ROUND(E1077+F1077,2)</f>
        <v>334284.62</v>
      </c>
    </row>
    <row r="1078" customFormat="false" ht="15" hidden="false" customHeight="false" outlineLevel="0" collapsed="false">
      <c r="A1078" s="14" t="s">
        <v>26</v>
      </c>
      <c r="B1078" s="14" t="n">
        <v>2023</v>
      </c>
      <c r="C1078" s="14" t="n">
        <v>10</v>
      </c>
      <c r="D1078" s="14" t="s">
        <v>59</v>
      </c>
      <c r="E1078" s="15" t="n">
        <v>234122.43</v>
      </c>
      <c r="F1078" s="15" t="n">
        <v>133694.87</v>
      </c>
      <c r="G1078" s="16" t="n">
        <f aca="false">ROUND(E1078+F1078,2)</f>
        <v>367817.3</v>
      </c>
    </row>
    <row r="1079" customFormat="false" ht="15" hidden="false" customHeight="false" outlineLevel="0" collapsed="false">
      <c r="A1079" s="14" t="s">
        <v>26</v>
      </c>
      <c r="B1079" s="14" t="n">
        <v>2023</v>
      </c>
      <c r="C1079" s="14" t="n">
        <v>11</v>
      </c>
      <c r="D1079" s="14" t="s">
        <v>60</v>
      </c>
      <c r="E1079" s="15" t="n">
        <v>221307.48</v>
      </c>
      <c r="F1079" s="15" t="n">
        <v>104051.63</v>
      </c>
      <c r="G1079" s="16" t="n">
        <f aca="false">ROUND(E1079+F1079,2)</f>
        <v>325359.11</v>
      </c>
    </row>
    <row r="1080" customFormat="false" ht="15" hidden="false" customHeight="false" outlineLevel="0" collapsed="false">
      <c r="A1080" s="14" t="s">
        <v>26</v>
      </c>
      <c r="B1080" s="14" t="n">
        <v>2023</v>
      </c>
      <c r="C1080" s="14" t="n">
        <v>12</v>
      </c>
      <c r="D1080" s="14" t="s">
        <v>61</v>
      </c>
      <c r="E1080" s="15" t="n">
        <v>201018.28</v>
      </c>
      <c r="F1080" s="15" t="n">
        <v>121579.22</v>
      </c>
      <c r="G1080" s="16" t="n">
        <f aca="false">ROUND(E1080+F1080,2)</f>
        <v>322597.5</v>
      </c>
    </row>
    <row r="1081" customFormat="false" ht="15" hidden="false" customHeight="false" outlineLevel="0" collapsed="false">
      <c r="A1081" s="14" t="s">
        <v>26</v>
      </c>
      <c r="B1081" s="14" t="n">
        <v>2024</v>
      </c>
      <c r="C1081" s="14" t="n">
        <v>1</v>
      </c>
      <c r="D1081" s="14" t="s">
        <v>50</v>
      </c>
      <c r="E1081" s="15" t="n">
        <v>173903.36</v>
      </c>
      <c r="F1081" s="15" t="n">
        <v>114552.78</v>
      </c>
      <c r="G1081" s="16" t="n">
        <f aca="false">ROUND(E1081+F1081,2)</f>
        <v>288456.14</v>
      </c>
    </row>
    <row r="1082" customFormat="false" ht="15" hidden="false" customHeight="false" outlineLevel="0" collapsed="false">
      <c r="A1082" s="14" t="s">
        <v>26</v>
      </c>
      <c r="B1082" s="14" t="n">
        <v>2024</v>
      </c>
      <c r="C1082" s="14" t="n">
        <v>2</v>
      </c>
      <c r="D1082" s="14" t="s">
        <v>51</v>
      </c>
      <c r="E1082" s="15" t="n">
        <v>154557.8</v>
      </c>
      <c r="F1082" s="15" t="n">
        <v>107547.27</v>
      </c>
      <c r="G1082" s="16" t="n">
        <f aca="false">ROUND(E1082+F1082,2)</f>
        <v>262105.07</v>
      </c>
    </row>
    <row r="1083" customFormat="false" ht="15" hidden="false" customHeight="false" outlineLevel="0" collapsed="false">
      <c r="A1083" s="14" t="s">
        <v>26</v>
      </c>
      <c r="B1083" s="14" t="n">
        <v>2024</v>
      </c>
      <c r="C1083" s="14" t="n">
        <v>3</v>
      </c>
      <c r="D1083" s="14" t="s">
        <v>52</v>
      </c>
      <c r="E1083" s="15" t="n">
        <v>195872.99</v>
      </c>
      <c r="F1083" s="15" t="n">
        <v>116198.95</v>
      </c>
      <c r="G1083" s="16" t="n">
        <f aca="false">ROUND(E1083+F1083,2)</f>
        <v>312071.94</v>
      </c>
    </row>
    <row r="1084" customFormat="false" ht="15" hidden="false" customHeight="false" outlineLevel="0" collapsed="false">
      <c r="A1084" s="14" t="s">
        <v>26</v>
      </c>
      <c r="B1084" s="14" t="n">
        <v>2024</v>
      </c>
      <c r="C1084" s="14" t="n">
        <v>4</v>
      </c>
      <c r="D1084" s="14" t="s">
        <v>53</v>
      </c>
      <c r="E1084" s="15" t="n">
        <v>222640.38</v>
      </c>
      <c r="F1084" s="15" t="n">
        <v>118299.1</v>
      </c>
      <c r="G1084" s="16" t="n">
        <f aca="false">ROUND(E1084+F1084,2)</f>
        <v>340939.48</v>
      </c>
    </row>
    <row r="1085" customFormat="false" ht="15" hidden="false" customHeight="false" outlineLevel="0" collapsed="false">
      <c r="A1085" s="14" t="s">
        <v>26</v>
      </c>
      <c r="B1085" s="14" t="n">
        <v>2024</v>
      </c>
      <c r="C1085" s="14" t="n">
        <v>5</v>
      </c>
      <c r="D1085" s="14" t="s">
        <v>54</v>
      </c>
      <c r="E1085" s="15" t="n">
        <v>193208.42</v>
      </c>
      <c r="F1085" s="15" t="n">
        <v>106919.13</v>
      </c>
      <c r="G1085" s="16" t="n">
        <f aca="false">ROUND(E1085+F1085,2)</f>
        <v>300127.55</v>
      </c>
    </row>
    <row r="1086" customFormat="false" ht="15" hidden="false" customHeight="false" outlineLevel="0" collapsed="false">
      <c r="A1086" s="14" t="s">
        <v>26</v>
      </c>
      <c r="B1086" s="14" t="n">
        <v>2024</v>
      </c>
      <c r="C1086" s="14" t="n">
        <v>6</v>
      </c>
      <c r="D1086" s="14" t="s">
        <v>55</v>
      </c>
      <c r="E1086" s="15" t="n">
        <v>91493.08</v>
      </c>
      <c r="F1086" s="15" t="n">
        <v>54322.77</v>
      </c>
      <c r="G1086" s="16" t="n">
        <f aca="false">ROUND(E1086+F1086,2)</f>
        <v>145815.85</v>
      </c>
    </row>
    <row r="1087" customFormat="false" ht="15" hidden="false" customHeight="false" outlineLevel="0" collapsed="false">
      <c r="A1087" s="14" t="s">
        <v>26</v>
      </c>
      <c r="B1087" s="14" t="n">
        <v>2024</v>
      </c>
      <c r="C1087" s="14" t="n">
        <v>7</v>
      </c>
      <c r="D1087" s="14" t="s">
        <v>56</v>
      </c>
      <c r="E1087" s="15" t="n">
        <v>213034.79</v>
      </c>
      <c r="F1087" s="15" t="n">
        <v>136841.32</v>
      </c>
      <c r="G1087" s="16" t="n">
        <f aca="false">ROUND(E1087+F1087,2)</f>
        <v>349876.11</v>
      </c>
    </row>
    <row r="1088" customFormat="false" ht="15" hidden="false" customHeight="false" outlineLevel="0" collapsed="false">
      <c r="A1088" s="14" t="s">
        <v>26</v>
      </c>
      <c r="B1088" s="14" t="n">
        <v>2024</v>
      </c>
      <c r="C1088" s="14" t="n">
        <v>8</v>
      </c>
      <c r="D1088" s="14" t="s">
        <v>57</v>
      </c>
      <c r="E1088" s="15" t="n">
        <v>226893.33</v>
      </c>
      <c r="F1088" s="15" t="n">
        <v>133351.58</v>
      </c>
      <c r="G1088" s="16" t="n">
        <f aca="false">ROUND(E1088+F1088,2)</f>
        <v>360244.91</v>
      </c>
    </row>
    <row r="1089" customFormat="false" ht="15" hidden="false" customHeight="false" outlineLevel="0" collapsed="false">
      <c r="A1089" s="14" t="s">
        <v>26</v>
      </c>
      <c r="B1089" s="14" t="n">
        <v>2024</v>
      </c>
      <c r="C1089" s="14" t="n">
        <v>9</v>
      </c>
      <c r="D1089" s="14" t="s">
        <v>58</v>
      </c>
      <c r="E1089" s="15" t="n">
        <v>204840.53</v>
      </c>
      <c r="F1089" s="15" t="n">
        <v>126802.1</v>
      </c>
      <c r="G1089" s="16" t="n">
        <f aca="false">ROUND(E1089+F1089,2)</f>
        <v>331642.63</v>
      </c>
    </row>
    <row r="1090" customFormat="false" ht="15" hidden="false" customHeight="false" outlineLevel="0" collapsed="false">
      <c r="A1090" s="14" t="s">
        <v>26</v>
      </c>
      <c r="B1090" s="14" t="n">
        <v>2024</v>
      </c>
      <c r="C1090" s="14" t="n">
        <v>10</v>
      </c>
      <c r="D1090" s="14" t="s">
        <v>59</v>
      </c>
      <c r="E1090" s="15" t="n">
        <v>235318.54</v>
      </c>
      <c r="F1090" s="15" t="n">
        <v>119690.13</v>
      </c>
      <c r="G1090" s="16" t="n">
        <f aca="false">ROUND(E1090+F1090,2)</f>
        <v>355008.67</v>
      </c>
    </row>
    <row r="1091" customFormat="false" ht="15" hidden="false" customHeight="false" outlineLevel="0" collapsed="false">
      <c r="A1091" s="14" t="s">
        <v>26</v>
      </c>
      <c r="B1091" s="14" t="n">
        <v>2024</v>
      </c>
      <c r="C1091" s="14" t="n">
        <v>11</v>
      </c>
      <c r="D1091" s="14" t="s">
        <v>60</v>
      </c>
      <c r="E1091" s="15" t="n">
        <v>211516.64</v>
      </c>
      <c r="F1091" s="15" t="n">
        <v>128199.59</v>
      </c>
      <c r="G1091" s="16" t="n">
        <f aca="false">ROUND(E1091+F1091,2)</f>
        <v>339716.23</v>
      </c>
    </row>
    <row r="1092" customFormat="false" ht="15" hidden="false" customHeight="false" outlineLevel="0" collapsed="false">
      <c r="A1092" s="14" t="s">
        <v>26</v>
      </c>
      <c r="B1092" s="14" t="n">
        <v>2024</v>
      </c>
      <c r="C1092" s="14" t="n">
        <v>12</v>
      </c>
      <c r="D1092" s="14" t="s">
        <v>61</v>
      </c>
      <c r="E1092" s="15" t="n">
        <v>237309.42</v>
      </c>
      <c r="F1092" s="15" t="n">
        <v>126563.39</v>
      </c>
      <c r="G1092" s="16" t="n">
        <f aca="false">ROUND(E1092+F1092,2)</f>
        <v>363872.81</v>
      </c>
    </row>
    <row r="1093" customFormat="false" ht="15" hidden="false" customHeight="false" outlineLevel="0" collapsed="false">
      <c r="A1093" s="14" t="s">
        <v>26</v>
      </c>
      <c r="B1093" s="14" t="n">
        <v>2025</v>
      </c>
      <c r="C1093" s="14" t="n">
        <v>1</v>
      </c>
      <c r="D1093" s="14" t="s">
        <v>50</v>
      </c>
      <c r="E1093" s="15" t="n">
        <v>216918.34</v>
      </c>
      <c r="F1093" s="15" t="n">
        <v>123561.76</v>
      </c>
      <c r="G1093" s="16" t="n">
        <f aca="false">ROUND(E1093+F1093,2)</f>
        <v>340480.1</v>
      </c>
    </row>
    <row r="1094" customFormat="false" ht="15" hidden="false" customHeight="false" outlineLevel="0" collapsed="false">
      <c r="A1094" s="14" t="s">
        <v>26</v>
      </c>
      <c r="B1094" s="14" t="n">
        <v>2025</v>
      </c>
      <c r="C1094" s="14" t="n">
        <v>2</v>
      </c>
      <c r="D1094" s="14" t="s">
        <v>51</v>
      </c>
      <c r="E1094" s="15" t="n">
        <v>168250.31</v>
      </c>
      <c r="F1094" s="15" t="n">
        <v>106817.43</v>
      </c>
      <c r="G1094" s="16" t="n">
        <f aca="false">ROUND(E1094+F1094,2)</f>
        <v>275067.74</v>
      </c>
    </row>
    <row r="1095" customFormat="false" ht="15" hidden="false" customHeight="false" outlineLevel="0" collapsed="false">
      <c r="A1095" s="14" t="s">
        <v>26</v>
      </c>
      <c r="B1095" s="14" t="n">
        <v>2025</v>
      </c>
      <c r="C1095" s="14" t="n">
        <v>3</v>
      </c>
      <c r="D1095" s="14" t="s">
        <v>52</v>
      </c>
      <c r="E1095" s="15" t="n">
        <v>264333.21</v>
      </c>
      <c r="F1095" s="15" t="n">
        <v>114960.62</v>
      </c>
      <c r="G1095" s="16" t="n">
        <f aca="false">ROUND(E1095+F1095,2)</f>
        <v>379293.83</v>
      </c>
    </row>
    <row r="1096" customFormat="false" ht="15" hidden="false" customHeight="false" outlineLevel="0" collapsed="false">
      <c r="A1096" s="14" t="s">
        <v>26</v>
      </c>
      <c r="B1096" s="14" t="n">
        <v>2025</v>
      </c>
      <c r="C1096" s="14" t="n">
        <v>4</v>
      </c>
      <c r="D1096" s="14" t="s">
        <v>53</v>
      </c>
      <c r="E1096" s="15" t="n">
        <v>282688.96</v>
      </c>
      <c r="F1096" s="15" t="n">
        <v>112036.2</v>
      </c>
      <c r="G1096" s="16" t="n">
        <f aca="false">ROUND(E1096+F1096,2)</f>
        <v>394725.16</v>
      </c>
    </row>
    <row r="1097" customFormat="false" ht="15" hidden="false" customHeight="false" outlineLevel="0" collapsed="false">
      <c r="A1097" s="14" t="s">
        <v>26</v>
      </c>
      <c r="B1097" s="14" t="n">
        <v>2025</v>
      </c>
      <c r="C1097" s="14" t="n">
        <v>5</v>
      </c>
      <c r="D1097" s="14" t="s">
        <v>54</v>
      </c>
      <c r="E1097" s="15" t="n">
        <v>256619.26</v>
      </c>
      <c r="F1097" s="15" t="n">
        <v>110418.89</v>
      </c>
      <c r="G1097" s="16" t="n">
        <f aca="false">ROUND(E1097+F1097,2)</f>
        <v>367038.15</v>
      </c>
    </row>
    <row r="1098" customFormat="false" ht="15" hidden="false" customHeight="false" outlineLevel="0" collapsed="false">
      <c r="A1098" s="14" t="s">
        <v>26</v>
      </c>
      <c r="B1098" s="14" t="n">
        <v>2025</v>
      </c>
      <c r="C1098" s="14" t="n">
        <v>6</v>
      </c>
      <c r="D1098" s="14" t="s">
        <v>55</v>
      </c>
      <c r="E1098" s="15" t="n">
        <v>238233.6</v>
      </c>
      <c r="F1098" s="15" t="n">
        <v>112801.72</v>
      </c>
      <c r="G1098" s="16" t="n">
        <f aca="false">ROUND(E1098+F1098,2)</f>
        <v>351035.32</v>
      </c>
    </row>
    <row r="1099" customFormat="false" ht="15" hidden="false" customHeight="false" outlineLevel="0" collapsed="false">
      <c r="A1099" s="14" t="s">
        <v>26</v>
      </c>
      <c r="B1099" s="14" t="n">
        <v>2025</v>
      </c>
      <c r="C1099" s="14" t="n">
        <v>7</v>
      </c>
      <c r="D1099" s="14" t="s">
        <v>56</v>
      </c>
      <c r="E1099" s="15" t="n">
        <v>281263.05</v>
      </c>
      <c r="F1099" s="15" t="n">
        <v>138668.95</v>
      </c>
      <c r="G1099" s="16" t="n">
        <f aca="false">ROUND(E1099+F1099,2)</f>
        <v>419932</v>
      </c>
    </row>
    <row r="1100" customFormat="false" ht="15" hidden="false" customHeight="false" outlineLevel="0" collapsed="false">
      <c r="A1100" s="14" t="s">
        <v>26</v>
      </c>
      <c r="B1100" s="14" t="n">
        <v>2025</v>
      </c>
      <c r="C1100" s="14" t="n">
        <v>8</v>
      </c>
      <c r="D1100" s="14" t="s">
        <v>57</v>
      </c>
      <c r="E1100" s="15" t="n">
        <v>276144.77</v>
      </c>
      <c r="F1100" s="15" t="n">
        <v>128141.14</v>
      </c>
      <c r="G1100" s="16" t="n">
        <f aca="false">ROUND(E1100+F1100,2)</f>
        <v>404285.91</v>
      </c>
    </row>
    <row r="1101" customFormat="false" ht="15" hidden="false" customHeight="false" outlineLevel="0" collapsed="false">
      <c r="A1101" s="14" t="s">
        <v>26</v>
      </c>
      <c r="B1101" s="14" t="n">
        <v>2025</v>
      </c>
      <c r="C1101" s="14" t="n">
        <v>9</v>
      </c>
      <c r="D1101" s="14" t="s">
        <v>58</v>
      </c>
      <c r="E1101" s="15" t="n">
        <v>326475.32</v>
      </c>
      <c r="F1101" s="15" t="n">
        <v>123127.53</v>
      </c>
      <c r="G1101" s="16" t="n">
        <f aca="false">ROUND(E1101+F1101,2)</f>
        <v>449602.85</v>
      </c>
    </row>
    <row r="1102" customFormat="false" ht="15" hidden="false" customHeight="false" outlineLevel="0" collapsed="false">
      <c r="A1102" s="14" t="s">
        <v>26</v>
      </c>
      <c r="B1102" s="14" t="n">
        <v>2025</v>
      </c>
      <c r="C1102" s="14" t="n">
        <v>10</v>
      </c>
      <c r="D1102" s="14" t="s">
        <v>59</v>
      </c>
      <c r="E1102" s="15" t="n">
        <v>340654.16</v>
      </c>
      <c r="F1102" s="15" t="n">
        <v>149017.37</v>
      </c>
      <c r="G1102" s="16" t="n">
        <f aca="false">ROUND(E1102+F1102,2)</f>
        <v>489671.53</v>
      </c>
    </row>
    <row r="1103" customFormat="false" ht="15" hidden="false" customHeight="false" outlineLevel="0" collapsed="false">
      <c r="A1103" s="14" t="s">
        <v>26</v>
      </c>
      <c r="B1103" s="14" t="n">
        <v>2025</v>
      </c>
      <c r="C1103" s="14" t="n">
        <v>11</v>
      </c>
      <c r="D1103" s="14" t="s">
        <v>60</v>
      </c>
      <c r="E1103" s="15" t="n">
        <v>337921.79</v>
      </c>
      <c r="F1103" s="15" t="n">
        <v>140118.07</v>
      </c>
      <c r="G1103" s="16" t="n">
        <f aca="false">ROUND(E1103+F1103,2)</f>
        <v>478039.86</v>
      </c>
    </row>
    <row r="1104" customFormat="false" ht="15" hidden="false" customHeight="false" outlineLevel="0" collapsed="false">
      <c r="A1104" s="14" t="s">
        <v>26</v>
      </c>
      <c r="B1104" s="14" t="n">
        <v>2025</v>
      </c>
      <c r="C1104" s="14" t="n">
        <v>12</v>
      </c>
      <c r="D1104" s="14" t="s">
        <v>61</v>
      </c>
      <c r="E1104" s="15" t="n">
        <v>308717.39</v>
      </c>
      <c r="F1104" s="15" t="n">
        <v>130210.11</v>
      </c>
      <c r="G1104" s="16" t="n">
        <f aca="false">ROUND(E1104+F1104,2)</f>
        <v>438927.5</v>
      </c>
    </row>
    <row r="1105" customFormat="false" ht="15" hidden="false" customHeight="false" outlineLevel="0" collapsed="false">
      <c r="A1105" s="14" t="s">
        <v>26</v>
      </c>
      <c r="B1105" s="14" t="n">
        <v>2026</v>
      </c>
      <c r="C1105" s="14" t="n">
        <v>1</v>
      </c>
      <c r="D1105" s="14" t="s">
        <v>50</v>
      </c>
      <c r="E1105" s="15" t="n">
        <v>328408.31</v>
      </c>
      <c r="F1105" s="15" t="n">
        <v>110773.18</v>
      </c>
      <c r="G1105" s="16" t="n">
        <f aca="false">ROUND(E1105+F1105,2)</f>
        <v>439181.49</v>
      </c>
    </row>
    <row r="1106" customFormat="false" ht="15" hidden="false" customHeight="false" outlineLevel="0" collapsed="false">
      <c r="A1106" s="14" t="s">
        <v>26</v>
      </c>
      <c r="B1106" s="14" t="n">
        <v>2026</v>
      </c>
      <c r="C1106" s="14" t="n">
        <v>2</v>
      </c>
      <c r="D1106" s="14" t="s">
        <v>51</v>
      </c>
      <c r="E1106" s="15" t="n">
        <v>305255.29</v>
      </c>
      <c r="F1106" s="15" t="n">
        <v>111649.33</v>
      </c>
      <c r="G1106" s="16" t="n">
        <f aca="false">ROUND(E1106+F1106,2)</f>
        <v>416904.62</v>
      </c>
    </row>
    <row r="1107" customFormat="false" ht="15" hidden="false" customHeight="false" outlineLevel="0" collapsed="false">
      <c r="A1107" s="14" t="s">
        <v>26</v>
      </c>
      <c r="B1107" s="14" t="n">
        <v>2026</v>
      </c>
      <c r="C1107" s="14" t="n">
        <v>3</v>
      </c>
      <c r="D1107" s="14" t="s">
        <v>52</v>
      </c>
      <c r="E1107" s="15" t="n">
        <v>340713.51</v>
      </c>
      <c r="F1107" s="15" t="n">
        <v>118493.54</v>
      </c>
      <c r="G1107" s="16" t="n">
        <f aca="false">ROUND(E1107+F1107,2)</f>
        <v>459207.05</v>
      </c>
    </row>
    <row r="1108" customFormat="false" ht="15" hidden="false" customHeight="false" outlineLevel="0" collapsed="false">
      <c r="A1108" s="14" t="s">
        <v>26</v>
      </c>
      <c r="B1108" s="14" t="n">
        <v>2026</v>
      </c>
      <c r="C1108" s="14" t="n">
        <v>4</v>
      </c>
      <c r="D1108" s="14" t="s">
        <v>53</v>
      </c>
      <c r="E1108" s="15" t="n">
        <v>321010.17</v>
      </c>
      <c r="F1108" s="15" t="n">
        <v>136494.62</v>
      </c>
      <c r="G1108" s="16" t="n">
        <f aca="false">ROUND(E1108+F1108,2)</f>
        <v>457504.79</v>
      </c>
    </row>
    <row r="1109" customFormat="false" ht="15" hidden="false" customHeight="false" outlineLevel="0" collapsed="false">
      <c r="A1109" s="14" t="s">
        <v>26</v>
      </c>
      <c r="B1109" s="14" t="n">
        <v>2026</v>
      </c>
      <c r="C1109" s="14" t="n">
        <v>5</v>
      </c>
      <c r="D1109" s="14" t="s">
        <v>54</v>
      </c>
      <c r="E1109" s="15" t="n">
        <v>342497.71</v>
      </c>
      <c r="F1109" s="15" t="n">
        <v>154156.02</v>
      </c>
      <c r="G1109" s="16" t="n">
        <f aca="false">ROUND(E1109+F1109,2)</f>
        <v>496653.73</v>
      </c>
    </row>
    <row r="1110" customFormat="false" ht="15" hidden="false" customHeight="false" outlineLevel="0" collapsed="false">
      <c r="A1110" s="14" t="s">
        <v>26</v>
      </c>
      <c r="B1110" s="14" t="n">
        <v>2026</v>
      </c>
      <c r="C1110" s="14" t="n">
        <v>6</v>
      </c>
      <c r="D1110" s="14" t="s">
        <v>55</v>
      </c>
      <c r="E1110" s="15" t="n">
        <v>334870.15</v>
      </c>
      <c r="F1110" s="15" t="n">
        <v>150329.89</v>
      </c>
      <c r="G1110" s="16" t="n">
        <f aca="false">ROUND(E1110+F1110,2)</f>
        <v>485200.04</v>
      </c>
    </row>
    <row r="1111" customFormat="false" ht="15" hidden="false" customHeight="false" outlineLevel="0" collapsed="false">
      <c r="A1111" s="14" t="s">
        <v>26</v>
      </c>
      <c r="B1111" s="14" t="n">
        <v>2026</v>
      </c>
      <c r="C1111" s="14" t="n">
        <v>7</v>
      </c>
      <c r="D1111" s="14" t="s">
        <v>56</v>
      </c>
      <c r="E1111" s="15" t="n">
        <v>330217.21</v>
      </c>
      <c r="F1111" s="15" t="n">
        <v>150103.05</v>
      </c>
      <c r="G1111" s="16" t="n">
        <f aca="false">ROUND(E1111+F1111,2)</f>
        <v>480320.26</v>
      </c>
    </row>
    <row r="1112" customFormat="false" ht="15" hidden="false" customHeight="false" outlineLevel="0" collapsed="false">
      <c r="A1112" s="14" t="s">
        <v>32</v>
      </c>
      <c r="B1112" s="14" t="n">
        <v>2021</v>
      </c>
      <c r="C1112" s="14" t="n">
        <v>1</v>
      </c>
      <c r="D1112" s="14" t="s">
        <v>50</v>
      </c>
      <c r="E1112" s="15" t="n">
        <v>106442.47</v>
      </c>
      <c r="F1112" s="15" t="n">
        <v>42021.93</v>
      </c>
      <c r="G1112" s="16" t="n">
        <f aca="false">ROUND(E1112+F1112,2)</f>
        <v>148464.4</v>
      </c>
    </row>
    <row r="1113" customFormat="false" ht="15" hidden="false" customHeight="false" outlineLevel="0" collapsed="false">
      <c r="A1113" s="14" t="s">
        <v>32</v>
      </c>
      <c r="B1113" s="14" t="n">
        <v>2021</v>
      </c>
      <c r="C1113" s="14" t="n">
        <v>2</v>
      </c>
      <c r="D1113" s="14" t="s">
        <v>51</v>
      </c>
      <c r="E1113" s="15" t="n">
        <v>101712.88</v>
      </c>
      <c r="F1113" s="15" t="n">
        <v>40249.29</v>
      </c>
      <c r="G1113" s="16" t="n">
        <f aca="false">ROUND(E1113+F1113,2)</f>
        <v>141962.17</v>
      </c>
    </row>
    <row r="1114" customFormat="false" ht="15" hidden="false" customHeight="false" outlineLevel="0" collapsed="false">
      <c r="A1114" s="14" t="s">
        <v>32</v>
      </c>
      <c r="B1114" s="14" t="n">
        <v>2021</v>
      </c>
      <c r="C1114" s="14" t="n">
        <v>3</v>
      </c>
      <c r="D1114" s="14" t="s">
        <v>52</v>
      </c>
      <c r="E1114" s="15" t="n">
        <v>122343.59</v>
      </c>
      <c r="F1114" s="15" t="n">
        <v>49440.4</v>
      </c>
      <c r="G1114" s="16" t="n">
        <f aca="false">ROUND(E1114+F1114,2)</f>
        <v>171783.99</v>
      </c>
    </row>
    <row r="1115" customFormat="false" ht="15" hidden="false" customHeight="false" outlineLevel="0" collapsed="false">
      <c r="A1115" s="14" t="s">
        <v>32</v>
      </c>
      <c r="B1115" s="14" t="n">
        <v>2021</v>
      </c>
      <c r="C1115" s="14" t="n">
        <v>4</v>
      </c>
      <c r="D1115" s="14" t="s">
        <v>53</v>
      </c>
      <c r="E1115" s="15" t="n">
        <v>159807.35</v>
      </c>
      <c r="F1115" s="15" t="n">
        <v>52405.17</v>
      </c>
      <c r="G1115" s="16" t="n">
        <f aca="false">ROUND(E1115+F1115,2)</f>
        <v>212212.52</v>
      </c>
    </row>
    <row r="1116" customFormat="false" ht="15" hidden="false" customHeight="false" outlineLevel="0" collapsed="false">
      <c r="A1116" s="14" t="s">
        <v>32</v>
      </c>
      <c r="B1116" s="14" t="n">
        <v>2021</v>
      </c>
      <c r="C1116" s="14" t="n">
        <v>5</v>
      </c>
      <c r="D1116" s="14" t="s">
        <v>54</v>
      </c>
      <c r="E1116" s="15" t="n">
        <v>142860.88</v>
      </c>
      <c r="F1116" s="15" t="n">
        <v>53496.07</v>
      </c>
      <c r="G1116" s="16" t="n">
        <f aca="false">ROUND(E1116+F1116,2)</f>
        <v>196356.95</v>
      </c>
    </row>
    <row r="1117" customFormat="false" ht="15" hidden="false" customHeight="false" outlineLevel="0" collapsed="false">
      <c r="A1117" s="14" t="s">
        <v>32</v>
      </c>
      <c r="B1117" s="14" t="n">
        <v>2021</v>
      </c>
      <c r="C1117" s="14" t="n">
        <v>6</v>
      </c>
      <c r="D1117" s="14" t="s">
        <v>55</v>
      </c>
      <c r="E1117" s="15" t="n">
        <v>160571.7</v>
      </c>
      <c r="F1117" s="15" t="n">
        <v>53052.55</v>
      </c>
      <c r="G1117" s="16" t="n">
        <f aca="false">ROUND(E1117+F1117,2)</f>
        <v>213624.25</v>
      </c>
    </row>
    <row r="1118" customFormat="false" ht="15" hidden="false" customHeight="false" outlineLevel="0" collapsed="false">
      <c r="A1118" s="14" t="s">
        <v>32</v>
      </c>
      <c r="B1118" s="14" t="n">
        <v>2021</v>
      </c>
      <c r="C1118" s="14" t="n">
        <v>7</v>
      </c>
      <c r="D1118" s="14" t="s">
        <v>56</v>
      </c>
      <c r="E1118" s="15" t="n">
        <v>144769.77</v>
      </c>
      <c r="F1118" s="15" t="n">
        <v>51580.38</v>
      </c>
      <c r="G1118" s="16" t="n">
        <f aca="false">ROUND(E1118+F1118,2)</f>
        <v>196350.15</v>
      </c>
    </row>
    <row r="1119" customFormat="false" ht="15" hidden="false" customHeight="false" outlineLevel="0" collapsed="false">
      <c r="A1119" s="14" t="s">
        <v>32</v>
      </c>
      <c r="B1119" s="14" t="n">
        <v>2021</v>
      </c>
      <c r="C1119" s="14" t="n">
        <v>8</v>
      </c>
      <c r="D1119" s="14" t="s">
        <v>57</v>
      </c>
      <c r="E1119" s="15" t="n">
        <v>129097.59</v>
      </c>
      <c r="F1119" s="15" t="n">
        <v>71016.3</v>
      </c>
      <c r="G1119" s="16" t="n">
        <f aca="false">ROUND(E1119+F1119,2)</f>
        <v>200113.89</v>
      </c>
    </row>
    <row r="1120" customFormat="false" ht="15" hidden="false" customHeight="false" outlineLevel="0" collapsed="false">
      <c r="A1120" s="14" t="s">
        <v>32</v>
      </c>
      <c r="B1120" s="14" t="n">
        <v>2021</v>
      </c>
      <c r="C1120" s="14" t="n">
        <v>9</v>
      </c>
      <c r="D1120" s="14" t="s">
        <v>58</v>
      </c>
      <c r="E1120" s="15" t="n">
        <v>141416.95</v>
      </c>
      <c r="F1120" s="15" t="n">
        <v>51823.4</v>
      </c>
      <c r="G1120" s="16" t="n">
        <f aca="false">ROUND(E1120+F1120,2)</f>
        <v>193240.35</v>
      </c>
    </row>
    <row r="1121" customFormat="false" ht="15" hidden="false" customHeight="false" outlineLevel="0" collapsed="false">
      <c r="A1121" s="14" t="s">
        <v>32</v>
      </c>
      <c r="B1121" s="14" t="n">
        <v>2021</v>
      </c>
      <c r="C1121" s="14" t="n">
        <v>10</v>
      </c>
      <c r="D1121" s="14" t="s">
        <v>59</v>
      </c>
      <c r="E1121" s="15" t="n">
        <v>137385.51</v>
      </c>
      <c r="F1121" s="15" t="n">
        <v>54626.46</v>
      </c>
      <c r="G1121" s="16" t="n">
        <f aca="false">ROUND(E1121+F1121,2)</f>
        <v>192011.97</v>
      </c>
    </row>
    <row r="1122" customFormat="false" ht="15" hidden="false" customHeight="false" outlineLevel="0" collapsed="false">
      <c r="A1122" s="14" t="s">
        <v>32</v>
      </c>
      <c r="B1122" s="14" t="n">
        <v>2021</v>
      </c>
      <c r="C1122" s="14" t="n">
        <v>11</v>
      </c>
      <c r="D1122" s="14" t="s">
        <v>60</v>
      </c>
      <c r="E1122" s="15" t="n">
        <v>153356.2</v>
      </c>
      <c r="F1122" s="15" t="n">
        <v>51475.11</v>
      </c>
      <c r="G1122" s="16" t="n">
        <f aca="false">ROUND(E1122+F1122,2)</f>
        <v>204831.31</v>
      </c>
    </row>
    <row r="1123" customFormat="false" ht="15" hidden="false" customHeight="false" outlineLevel="0" collapsed="false">
      <c r="A1123" s="14" t="s">
        <v>32</v>
      </c>
      <c r="B1123" s="14" t="n">
        <v>2021</v>
      </c>
      <c r="C1123" s="14" t="n">
        <v>12</v>
      </c>
      <c r="D1123" s="14" t="s">
        <v>61</v>
      </c>
      <c r="E1123" s="15" t="n">
        <v>135829.63</v>
      </c>
      <c r="F1123" s="15" t="n">
        <v>50818.67</v>
      </c>
      <c r="G1123" s="16" t="n">
        <f aca="false">ROUND(E1123+F1123,2)</f>
        <v>186648.3</v>
      </c>
    </row>
    <row r="1124" customFormat="false" ht="15" hidden="false" customHeight="false" outlineLevel="0" collapsed="false">
      <c r="A1124" s="14" t="s">
        <v>32</v>
      </c>
      <c r="B1124" s="14" t="n">
        <v>2022</v>
      </c>
      <c r="C1124" s="14" t="n">
        <v>1</v>
      </c>
      <c r="D1124" s="14" t="s">
        <v>50</v>
      </c>
      <c r="E1124" s="15" t="n">
        <v>167720.97</v>
      </c>
      <c r="F1124" s="15" t="n">
        <v>56261.46</v>
      </c>
      <c r="G1124" s="16" t="n">
        <f aca="false">ROUND(E1124+F1124,2)</f>
        <v>223982.43</v>
      </c>
    </row>
    <row r="1125" customFormat="false" ht="15" hidden="false" customHeight="false" outlineLevel="0" collapsed="false">
      <c r="A1125" s="14" t="s">
        <v>32</v>
      </c>
      <c r="B1125" s="14" t="n">
        <v>2022</v>
      </c>
      <c r="C1125" s="14" t="n">
        <v>2</v>
      </c>
      <c r="D1125" s="14" t="s">
        <v>51</v>
      </c>
      <c r="E1125" s="15" t="n">
        <v>140221.04</v>
      </c>
      <c r="F1125" s="15" t="n">
        <v>50176.55</v>
      </c>
      <c r="G1125" s="16" t="n">
        <f aca="false">ROUND(E1125+F1125,2)</f>
        <v>190397.59</v>
      </c>
    </row>
    <row r="1126" customFormat="false" ht="15" hidden="false" customHeight="false" outlineLevel="0" collapsed="false">
      <c r="A1126" s="14" t="s">
        <v>32</v>
      </c>
      <c r="B1126" s="14" t="n">
        <v>2022</v>
      </c>
      <c r="C1126" s="14" t="n">
        <v>3</v>
      </c>
      <c r="D1126" s="14" t="s">
        <v>52</v>
      </c>
      <c r="E1126" s="15" t="n">
        <v>133355.71</v>
      </c>
      <c r="F1126" s="15" t="n">
        <v>51135.09</v>
      </c>
      <c r="G1126" s="16" t="n">
        <f aca="false">ROUND(E1126+F1126,2)</f>
        <v>184490.8</v>
      </c>
    </row>
    <row r="1127" customFormat="false" ht="15" hidden="false" customHeight="false" outlineLevel="0" collapsed="false">
      <c r="A1127" s="14" t="s">
        <v>32</v>
      </c>
      <c r="B1127" s="14" t="n">
        <v>2022</v>
      </c>
      <c r="C1127" s="14" t="n">
        <v>4</v>
      </c>
      <c r="D1127" s="14" t="s">
        <v>53</v>
      </c>
      <c r="E1127" s="15" t="n">
        <v>175296.48</v>
      </c>
      <c r="F1127" s="15" t="n">
        <v>63241.3</v>
      </c>
      <c r="G1127" s="16" t="n">
        <f aca="false">ROUND(E1127+F1127,2)</f>
        <v>238537.78</v>
      </c>
    </row>
    <row r="1128" customFormat="false" ht="15" hidden="false" customHeight="false" outlineLevel="0" collapsed="false">
      <c r="A1128" s="14" t="s">
        <v>32</v>
      </c>
      <c r="B1128" s="14" t="n">
        <v>2022</v>
      </c>
      <c r="C1128" s="14" t="n">
        <v>5</v>
      </c>
      <c r="D1128" s="14" t="s">
        <v>54</v>
      </c>
      <c r="E1128" s="15" t="n">
        <v>168100.71</v>
      </c>
      <c r="F1128" s="15" t="n">
        <v>61358.17</v>
      </c>
      <c r="G1128" s="16" t="n">
        <f aca="false">ROUND(E1128+F1128,2)</f>
        <v>229458.88</v>
      </c>
    </row>
    <row r="1129" customFormat="false" ht="15" hidden="false" customHeight="false" outlineLevel="0" collapsed="false">
      <c r="A1129" s="14" t="s">
        <v>32</v>
      </c>
      <c r="B1129" s="14" t="n">
        <v>2022</v>
      </c>
      <c r="C1129" s="14" t="n">
        <v>6</v>
      </c>
      <c r="D1129" s="14" t="s">
        <v>55</v>
      </c>
      <c r="E1129" s="15" t="n">
        <v>170366.32</v>
      </c>
      <c r="F1129" s="15" t="n">
        <v>60701.8</v>
      </c>
      <c r="G1129" s="16" t="n">
        <f aca="false">ROUND(E1129+F1129,2)</f>
        <v>231068.12</v>
      </c>
    </row>
    <row r="1130" customFormat="false" ht="15" hidden="false" customHeight="false" outlineLevel="0" collapsed="false">
      <c r="A1130" s="14" t="s">
        <v>32</v>
      </c>
      <c r="B1130" s="14" t="n">
        <v>2022</v>
      </c>
      <c r="C1130" s="14" t="n">
        <v>7</v>
      </c>
      <c r="D1130" s="14" t="s">
        <v>56</v>
      </c>
      <c r="E1130" s="15" t="n">
        <v>160954.32</v>
      </c>
      <c r="F1130" s="15" t="n">
        <v>61130.41</v>
      </c>
      <c r="G1130" s="16" t="n">
        <f aca="false">ROUND(E1130+F1130,2)</f>
        <v>222084.73</v>
      </c>
    </row>
    <row r="1131" customFormat="false" ht="15" hidden="false" customHeight="false" outlineLevel="0" collapsed="false">
      <c r="A1131" s="14" t="s">
        <v>32</v>
      </c>
      <c r="B1131" s="14" t="n">
        <v>2022</v>
      </c>
      <c r="C1131" s="14" t="n">
        <v>8</v>
      </c>
      <c r="D1131" s="14" t="s">
        <v>57</v>
      </c>
      <c r="E1131" s="15" t="n">
        <v>166671.78</v>
      </c>
      <c r="F1131" s="15" t="n">
        <v>66102.75</v>
      </c>
      <c r="G1131" s="16" t="n">
        <f aca="false">ROUND(E1131+F1131,2)</f>
        <v>232774.53</v>
      </c>
    </row>
    <row r="1132" customFormat="false" ht="15" hidden="false" customHeight="false" outlineLevel="0" collapsed="false">
      <c r="A1132" s="14" t="s">
        <v>32</v>
      </c>
      <c r="B1132" s="14" t="n">
        <v>2022</v>
      </c>
      <c r="C1132" s="14" t="n">
        <v>9</v>
      </c>
      <c r="D1132" s="14" t="s">
        <v>58</v>
      </c>
      <c r="E1132" s="15" t="n">
        <v>167669.65</v>
      </c>
      <c r="F1132" s="15" t="n">
        <v>77578.73</v>
      </c>
      <c r="G1132" s="16" t="n">
        <f aca="false">ROUND(E1132+F1132,2)</f>
        <v>245248.38</v>
      </c>
    </row>
    <row r="1133" customFormat="false" ht="15" hidden="false" customHeight="false" outlineLevel="0" collapsed="false">
      <c r="A1133" s="14" t="s">
        <v>32</v>
      </c>
      <c r="B1133" s="14" t="n">
        <v>2022</v>
      </c>
      <c r="C1133" s="14" t="n">
        <v>10</v>
      </c>
      <c r="D1133" s="14" t="s">
        <v>59</v>
      </c>
      <c r="E1133" s="15" t="n">
        <v>177982.33</v>
      </c>
      <c r="F1133" s="15" t="n">
        <v>67347.11</v>
      </c>
      <c r="G1133" s="16" t="n">
        <f aca="false">ROUND(E1133+F1133,2)</f>
        <v>245329.44</v>
      </c>
    </row>
    <row r="1134" customFormat="false" ht="15" hidden="false" customHeight="false" outlineLevel="0" collapsed="false">
      <c r="A1134" s="14" t="s">
        <v>32</v>
      </c>
      <c r="B1134" s="14" t="n">
        <v>2022</v>
      </c>
      <c r="C1134" s="14" t="n">
        <v>11</v>
      </c>
      <c r="D1134" s="14" t="s">
        <v>60</v>
      </c>
      <c r="E1134" s="15" t="n">
        <v>168012.94</v>
      </c>
      <c r="F1134" s="15" t="n">
        <v>53705.64</v>
      </c>
      <c r="G1134" s="16" t="n">
        <f aca="false">ROUND(E1134+F1134,2)</f>
        <v>221718.58</v>
      </c>
    </row>
    <row r="1135" customFormat="false" ht="15" hidden="false" customHeight="false" outlineLevel="0" collapsed="false">
      <c r="A1135" s="14" t="s">
        <v>32</v>
      </c>
      <c r="B1135" s="14" t="n">
        <v>2022</v>
      </c>
      <c r="C1135" s="14" t="n">
        <v>12</v>
      </c>
      <c r="D1135" s="14" t="s">
        <v>61</v>
      </c>
      <c r="E1135" s="15" t="n">
        <v>198273.3</v>
      </c>
      <c r="F1135" s="15" t="n">
        <v>71040.39</v>
      </c>
      <c r="G1135" s="16" t="n">
        <f aca="false">ROUND(E1135+F1135,2)</f>
        <v>269313.69</v>
      </c>
    </row>
    <row r="1136" customFormat="false" ht="15" hidden="false" customHeight="false" outlineLevel="0" collapsed="false">
      <c r="A1136" s="14" t="s">
        <v>32</v>
      </c>
      <c r="B1136" s="14" t="n">
        <v>2023</v>
      </c>
      <c r="C1136" s="14" t="n">
        <v>1</v>
      </c>
      <c r="D1136" s="14" t="s">
        <v>50</v>
      </c>
      <c r="E1136" s="15" t="n">
        <v>153558.2</v>
      </c>
      <c r="F1136" s="15" t="n">
        <v>63725.21</v>
      </c>
      <c r="G1136" s="16" t="n">
        <f aca="false">ROUND(E1136+F1136,2)</f>
        <v>217283.41</v>
      </c>
    </row>
    <row r="1137" customFormat="false" ht="15" hidden="false" customHeight="false" outlineLevel="0" collapsed="false">
      <c r="A1137" s="14" t="s">
        <v>32</v>
      </c>
      <c r="B1137" s="14" t="n">
        <v>2023</v>
      </c>
      <c r="C1137" s="14" t="n">
        <v>2</v>
      </c>
      <c r="D1137" s="14" t="s">
        <v>51</v>
      </c>
      <c r="E1137" s="15" t="n">
        <v>190448.29</v>
      </c>
      <c r="F1137" s="15" t="n">
        <v>68789.82</v>
      </c>
      <c r="G1137" s="16" t="n">
        <f aca="false">ROUND(E1137+F1137,2)</f>
        <v>259238.11</v>
      </c>
    </row>
    <row r="1138" customFormat="false" ht="15" hidden="false" customHeight="false" outlineLevel="0" collapsed="false">
      <c r="A1138" s="14" t="s">
        <v>32</v>
      </c>
      <c r="B1138" s="14" t="n">
        <v>2023</v>
      </c>
      <c r="C1138" s="14" t="n">
        <v>3</v>
      </c>
      <c r="D1138" s="14" t="s">
        <v>52</v>
      </c>
      <c r="E1138" s="15" t="n">
        <v>205286.77</v>
      </c>
      <c r="F1138" s="15" t="n">
        <v>70492.21</v>
      </c>
      <c r="G1138" s="16" t="n">
        <f aca="false">ROUND(E1138+F1138,2)</f>
        <v>275778.98</v>
      </c>
    </row>
    <row r="1139" customFormat="false" ht="15" hidden="false" customHeight="false" outlineLevel="0" collapsed="false">
      <c r="A1139" s="14" t="s">
        <v>32</v>
      </c>
      <c r="B1139" s="14" t="n">
        <v>2023</v>
      </c>
      <c r="C1139" s="14" t="n">
        <v>4</v>
      </c>
      <c r="D1139" s="14" t="s">
        <v>53</v>
      </c>
      <c r="E1139" s="15" t="n">
        <v>184626.66</v>
      </c>
      <c r="F1139" s="15" t="n">
        <v>61873.53</v>
      </c>
      <c r="G1139" s="16" t="n">
        <f aca="false">ROUND(E1139+F1139,2)</f>
        <v>246500.19</v>
      </c>
    </row>
    <row r="1140" customFormat="false" ht="15" hidden="false" customHeight="false" outlineLevel="0" collapsed="false">
      <c r="A1140" s="14" t="s">
        <v>32</v>
      </c>
      <c r="B1140" s="14" t="n">
        <v>2023</v>
      </c>
      <c r="C1140" s="14" t="n">
        <v>5</v>
      </c>
      <c r="D1140" s="14" t="s">
        <v>54</v>
      </c>
      <c r="E1140" s="15" t="n">
        <v>191719.95</v>
      </c>
      <c r="F1140" s="15" t="n">
        <v>63652.65</v>
      </c>
      <c r="G1140" s="16" t="n">
        <f aca="false">ROUND(E1140+F1140,2)</f>
        <v>255372.6</v>
      </c>
    </row>
    <row r="1141" customFormat="false" ht="15" hidden="false" customHeight="false" outlineLevel="0" collapsed="false">
      <c r="A1141" s="14" t="s">
        <v>32</v>
      </c>
      <c r="B1141" s="14" t="n">
        <v>2023</v>
      </c>
      <c r="C1141" s="14" t="n">
        <v>6</v>
      </c>
      <c r="D1141" s="14" t="s">
        <v>55</v>
      </c>
      <c r="E1141" s="15" t="n">
        <v>178790.5</v>
      </c>
      <c r="F1141" s="15" t="n">
        <v>64259.87</v>
      </c>
      <c r="G1141" s="16" t="n">
        <f aca="false">ROUND(E1141+F1141,2)</f>
        <v>243050.37</v>
      </c>
    </row>
    <row r="1142" customFormat="false" ht="15" hidden="false" customHeight="false" outlineLevel="0" collapsed="false">
      <c r="A1142" s="14" t="s">
        <v>32</v>
      </c>
      <c r="B1142" s="14" t="n">
        <v>2023</v>
      </c>
      <c r="C1142" s="14" t="n">
        <v>7</v>
      </c>
      <c r="D1142" s="14" t="s">
        <v>56</v>
      </c>
      <c r="E1142" s="15" t="n">
        <v>174758.4</v>
      </c>
      <c r="F1142" s="15" t="n">
        <v>64408.42</v>
      </c>
      <c r="G1142" s="16" t="n">
        <f aca="false">ROUND(E1142+F1142,2)</f>
        <v>239166.82</v>
      </c>
    </row>
    <row r="1143" customFormat="false" ht="15" hidden="false" customHeight="false" outlineLevel="0" collapsed="false">
      <c r="A1143" s="14" t="s">
        <v>32</v>
      </c>
      <c r="B1143" s="14" t="n">
        <v>2023</v>
      </c>
      <c r="C1143" s="14" t="n">
        <v>8</v>
      </c>
      <c r="D1143" s="14" t="s">
        <v>57</v>
      </c>
      <c r="E1143" s="15" t="n">
        <v>204311.67</v>
      </c>
      <c r="F1143" s="15" t="n">
        <v>76430.25</v>
      </c>
      <c r="G1143" s="16" t="n">
        <f aca="false">ROUND(E1143+F1143,2)</f>
        <v>280741.92</v>
      </c>
    </row>
    <row r="1144" customFormat="false" ht="15" hidden="false" customHeight="false" outlineLevel="0" collapsed="false">
      <c r="A1144" s="14" t="s">
        <v>32</v>
      </c>
      <c r="B1144" s="14" t="n">
        <v>2023</v>
      </c>
      <c r="C1144" s="14" t="n">
        <v>9</v>
      </c>
      <c r="D1144" s="14" t="s">
        <v>58</v>
      </c>
      <c r="E1144" s="15" t="n">
        <v>168522.92</v>
      </c>
      <c r="F1144" s="15" t="n">
        <v>68739.93</v>
      </c>
      <c r="G1144" s="16" t="n">
        <f aca="false">ROUND(E1144+F1144,2)</f>
        <v>237262.85</v>
      </c>
    </row>
    <row r="1145" customFormat="false" ht="15" hidden="false" customHeight="false" outlineLevel="0" collapsed="false">
      <c r="A1145" s="14" t="s">
        <v>32</v>
      </c>
      <c r="B1145" s="14" t="n">
        <v>2023</v>
      </c>
      <c r="C1145" s="14" t="n">
        <v>10</v>
      </c>
      <c r="D1145" s="14" t="s">
        <v>59</v>
      </c>
      <c r="E1145" s="15" t="n">
        <v>190508.3</v>
      </c>
      <c r="F1145" s="15" t="n">
        <v>59071.85</v>
      </c>
      <c r="G1145" s="16" t="n">
        <f aca="false">ROUND(E1145+F1145,2)</f>
        <v>249580.15</v>
      </c>
    </row>
    <row r="1146" customFormat="false" ht="15" hidden="false" customHeight="false" outlineLevel="0" collapsed="false">
      <c r="A1146" s="14" t="s">
        <v>32</v>
      </c>
      <c r="B1146" s="14" t="n">
        <v>2023</v>
      </c>
      <c r="C1146" s="14" t="n">
        <v>11</v>
      </c>
      <c r="D1146" s="14" t="s">
        <v>60</v>
      </c>
      <c r="E1146" s="15" t="n">
        <v>164548.89</v>
      </c>
      <c r="F1146" s="15" t="n">
        <v>59165.56</v>
      </c>
      <c r="G1146" s="16" t="n">
        <f aca="false">ROUND(E1146+F1146,2)</f>
        <v>223714.45</v>
      </c>
    </row>
    <row r="1147" customFormat="false" ht="15" hidden="false" customHeight="false" outlineLevel="0" collapsed="false">
      <c r="A1147" s="14" t="s">
        <v>32</v>
      </c>
      <c r="B1147" s="14" t="n">
        <v>2023</v>
      </c>
      <c r="C1147" s="14" t="n">
        <v>12</v>
      </c>
      <c r="D1147" s="14" t="s">
        <v>61</v>
      </c>
      <c r="E1147" s="15" t="n">
        <v>219717.46</v>
      </c>
      <c r="F1147" s="15" t="n">
        <v>70521.72</v>
      </c>
      <c r="G1147" s="16" t="n">
        <f aca="false">ROUND(E1147+F1147,2)</f>
        <v>290239.18</v>
      </c>
    </row>
    <row r="1148" customFormat="false" ht="15" hidden="false" customHeight="false" outlineLevel="0" collapsed="false">
      <c r="A1148" s="14" t="s">
        <v>32</v>
      </c>
      <c r="B1148" s="14" t="n">
        <v>2024</v>
      </c>
      <c r="C1148" s="14" t="n">
        <v>1</v>
      </c>
      <c r="D1148" s="14" t="s">
        <v>50</v>
      </c>
      <c r="E1148" s="15" t="n">
        <v>197432.29</v>
      </c>
      <c r="F1148" s="15" t="n">
        <v>62050.23</v>
      </c>
      <c r="G1148" s="16" t="n">
        <f aca="false">ROUND(E1148+F1148,2)</f>
        <v>259482.52</v>
      </c>
    </row>
    <row r="1149" customFormat="false" ht="15" hidden="false" customHeight="false" outlineLevel="0" collapsed="false">
      <c r="A1149" s="14" t="s">
        <v>32</v>
      </c>
      <c r="B1149" s="14" t="n">
        <v>2024</v>
      </c>
      <c r="C1149" s="14" t="n">
        <v>2</v>
      </c>
      <c r="D1149" s="14" t="s">
        <v>51</v>
      </c>
      <c r="E1149" s="15" t="n">
        <v>191833.21</v>
      </c>
      <c r="F1149" s="15" t="n">
        <v>61991.4</v>
      </c>
      <c r="G1149" s="16" t="n">
        <f aca="false">ROUND(E1149+F1149,2)</f>
        <v>253824.61</v>
      </c>
    </row>
    <row r="1150" customFormat="false" ht="15" hidden="false" customHeight="false" outlineLevel="0" collapsed="false">
      <c r="A1150" s="14" t="s">
        <v>32</v>
      </c>
      <c r="B1150" s="14" t="n">
        <v>2024</v>
      </c>
      <c r="C1150" s="14" t="n">
        <v>3</v>
      </c>
      <c r="D1150" s="14" t="s">
        <v>52</v>
      </c>
      <c r="E1150" s="15" t="n">
        <v>175069.28</v>
      </c>
      <c r="F1150" s="15" t="n">
        <v>65264.49</v>
      </c>
      <c r="G1150" s="16" t="n">
        <f aca="false">ROUND(E1150+F1150,2)</f>
        <v>240333.77</v>
      </c>
    </row>
    <row r="1151" customFormat="false" ht="15" hidden="false" customHeight="false" outlineLevel="0" collapsed="false">
      <c r="A1151" s="14" t="s">
        <v>32</v>
      </c>
      <c r="B1151" s="14" t="n">
        <v>2024</v>
      </c>
      <c r="C1151" s="14" t="n">
        <v>4</v>
      </c>
      <c r="D1151" s="14" t="s">
        <v>53</v>
      </c>
      <c r="E1151" s="15" t="n">
        <v>190897.14</v>
      </c>
      <c r="F1151" s="15" t="n">
        <v>60313.64</v>
      </c>
      <c r="G1151" s="16" t="n">
        <f aca="false">ROUND(E1151+F1151,2)</f>
        <v>251210.78</v>
      </c>
    </row>
    <row r="1152" customFormat="false" ht="15" hidden="false" customHeight="false" outlineLevel="0" collapsed="false">
      <c r="A1152" s="14" t="s">
        <v>32</v>
      </c>
      <c r="B1152" s="14" t="n">
        <v>2024</v>
      </c>
      <c r="C1152" s="14" t="n">
        <v>5</v>
      </c>
      <c r="D1152" s="14" t="s">
        <v>54</v>
      </c>
      <c r="E1152" s="15" t="n">
        <v>199908.03</v>
      </c>
      <c r="F1152" s="15" t="n">
        <v>66399.74</v>
      </c>
      <c r="G1152" s="16" t="n">
        <f aca="false">ROUND(E1152+F1152,2)</f>
        <v>266307.77</v>
      </c>
    </row>
    <row r="1153" customFormat="false" ht="15" hidden="false" customHeight="false" outlineLevel="0" collapsed="false">
      <c r="A1153" s="14" t="s">
        <v>32</v>
      </c>
      <c r="B1153" s="14" t="n">
        <v>2024</v>
      </c>
      <c r="C1153" s="14" t="n">
        <v>6</v>
      </c>
      <c r="D1153" s="14" t="s">
        <v>55</v>
      </c>
      <c r="E1153" s="15" t="n">
        <v>77742.37</v>
      </c>
      <c r="F1153" s="15" t="n">
        <v>27815.4</v>
      </c>
      <c r="G1153" s="16" t="n">
        <f aca="false">ROUND(E1153+F1153,2)</f>
        <v>105557.77</v>
      </c>
    </row>
    <row r="1154" customFormat="false" ht="15" hidden="false" customHeight="false" outlineLevel="0" collapsed="false">
      <c r="A1154" s="14" t="s">
        <v>32</v>
      </c>
      <c r="B1154" s="14" t="n">
        <v>2024</v>
      </c>
      <c r="C1154" s="14" t="n">
        <v>7</v>
      </c>
      <c r="D1154" s="14" t="s">
        <v>56</v>
      </c>
      <c r="E1154" s="15" t="n">
        <v>163630.28</v>
      </c>
      <c r="F1154" s="15" t="n">
        <v>61482.77</v>
      </c>
      <c r="G1154" s="16" t="n">
        <f aca="false">ROUND(E1154+F1154,2)</f>
        <v>225113.05</v>
      </c>
    </row>
    <row r="1155" customFormat="false" ht="15" hidden="false" customHeight="false" outlineLevel="0" collapsed="false">
      <c r="A1155" s="14" t="s">
        <v>32</v>
      </c>
      <c r="B1155" s="14" t="n">
        <v>2024</v>
      </c>
      <c r="C1155" s="14" t="n">
        <v>8</v>
      </c>
      <c r="D1155" s="14" t="s">
        <v>57</v>
      </c>
      <c r="E1155" s="15" t="n">
        <v>199807.47</v>
      </c>
      <c r="F1155" s="15" t="n">
        <v>76528.8</v>
      </c>
      <c r="G1155" s="16" t="n">
        <f aca="false">ROUND(E1155+F1155,2)</f>
        <v>276336.27</v>
      </c>
    </row>
    <row r="1156" customFormat="false" ht="15" hidden="false" customHeight="false" outlineLevel="0" collapsed="false">
      <c r="A1156" s="14" t="s">
        <v>32</v>
      </c>
      <c r="B1156" s="14" t="n">
        <v>2024</v>
      </c>
      <c r="C1156" s="14" t="n">
        <v>9</v>
      </c>
      <c r="D1156" s="14" t="s">
        <v>58</v>
      </c>
      <c r="E1156" s="15" t="n">
        <v>186620.11</v>
      </c>
      <c r="F1156" s="15" t="n">
        <v>72838.36</v>
      </c>
      <c r="G1156" s="16" t="n">
        <f aca="false">ROUND(E1156+F1156,2)</f>
        <v>259458.47</v>
      </c>
    </row>
    <row r="1157" customFormat="false" ht="15" hidden="false" customHeight="false" outlineLevel="0" collapsed="false">
      <c r="A1157" s="14" t="s">
        <v>32</v>
      </c>
      <c r="B1157" s="14" t="n">
        <v>2024</v>
      </c>
      <c r="C1157" s="14" t="n">
        <v>10</v>
      </c>
      <c r="D1157" s="14" t="s">
        <v>59</v>
      </c>
      <c r="E1157" s="15" t="n">
        <v>230560.67</v>
      </c>
      <c r="F1157" s="15" t="n">
        <v>91945.98</v>
      </c>
      <c r="G1157" s="16" t="n">
        <f aca="false">ROUND(E1157+F1157,2)</f>
        <v>322506.65</v>
      </c>
    </row>
    <row r="1158" customFormat="false" ht="15" hidden="false" customHeight="false" outlineLevel="0" collapsed="false">
      <c r="A1158" s="14" t="s">
        <v>32</v>
      </c>
      <c r="B1158" s="14" t="n">
        <v>2024</v>
      </c>
      <c r="C1158" s="14" t="n">
        <v>11</v>
      </c>
      <c r="D1158" s="14" t="s">
        <v>60</v>
      </c>
      <c r="E1158" s="15" t="n">
        <v>234799.09</v>
      </c>
      <c r="F1158" s="15" t="n">
        <v>84381.37</v>
      </c>
      <c r="G1158" s="16" t="n">
        <f aca="false">ROUND(E1158+F1158,2)</f>
        <v>319180.46</v>
      </c>
    </row>
    <row r="1159" customFormat="false" ht="15" hidden="false" customHeight="false" outlineLevel="0" collapsed="false">
      <c r="A1159" s="14" t="s">
        <v>32</v>
      </c>
      <c r="B1159" s="14" t="n">
        <v>2024</v>
      </c>
      <c r="C1159" s="14" t="n">
        <v>12</v>
      </c>
      <c r="D1159" s="14" t="s">
        <v>61</v>
      </c>
      <c r="E1159" s="15" t="n">
        <v>217275.53</v>
      </c>
      <c r="F1159" s="15" t="n">
        <v>63430.64</v>
      </c>
      <c r="G1159" s="16" t="n">
        <f aca="false">ROUND(E1159+F1159,2)</f>
        <v>280706.17</v>
      </c>
    </row>
    <row r="1160" customFormat="false" ht="15" hidden="false" customHeight="false" outlineLevel="0" collapsed="false">
      <c r="A1160" s="14" t="s">
        <v>32</v>
      </c>
      <c r="B1160" s="14" t="n">
        <v>2025</v>
      </c>
      <c r="C1160" s="14" t="n">
        <v>1</v>
      </c>
      <c r="D1160" s="14" t="s">
        <v>50</v>
      </c>
      <c r="E1160" s="15" t="n">
        <v>202262.9</v>
      </c>
      <c r="F1160" s="15" t="n">
        <v>76895.71</v>
      </c>
      <c r="G1160" s="16" t="n">
        <f aca="false">ROUND(E1160+F1160,2)</f>
        <v>279158.61</v>
      </c>
    </row>
    <row r="1161" customFormat="false" ht="15" hidden="false" customHeight="false" outlineLevel="0" collapsed="false">
      <c r="A1161" s="14" t="s">
        <v>32</v>
      </c>
      <c r="B1161" s="14" t="n">
        <v>2025</v>
      </c>
      <c r="C1161" s="14" t="n">
        <v>2</v>
      </c>
      <c r="D1161" s="14" t="s">
        <v>51</v>
      </c>
      <c r="E1161" s="15" t="n">
        <v>182948.08</v>
      </c>
      <c r="F1161" s="15" t="n">
        <v>63351.53</v>
      </c>
      <c r="G1161" s="16" t="n">
        <f aca="false">ROUND(E1161+F1161,2)</f>
        <v>246299.61</v>
      </c>
    </row>
    <row r="1162" customFormat="false" ht="15" hidden="false" customHeight="false" outlineLevel="0" collapsed="false">
      <c r="A1162" s="14" t="s">
        <v>32</v>
      </c>
      <c r="B1162" s="14" t="n">
        <v>2025</v>
      </c>
      <c r="C1162" s="14" t="n">
        <v>3</v>
      </c>
      <c r="D1162" s="14" t="s">
        <v>52</v>
      </c>
      <c r="E1162" s="15" t="n">
        <v>203100.59</v>
      </c>
      <c r="F1162" s="15" t="n">
        <v>74848.47</v>
      </c>
      <c r="G1162" s="16" t="n">
        <f aca="false">ROUND(E1162+F1162,2)</f>
        <v>277949.06</v>
      </c>
    </row>
    <row r="1163" customFormat="false" ht="15" hidden="false" customHeight="false" outlineLevel="0" collapsed="false">
      <c r="A1163" s="14" t="s">
        <v>32</v>
      </c>
      <c r="B1163" s="14" t="n">
        <v>2025</v>
      </c>
      <c r="C1163" s="14" t="n">
        <v>4</v>
      </c>
      <c r="D1163" s="14" t="s">
        <v>53</v>
      </c>
      <c r="E1163" s="15" t="n">
        <v>183103.26</v>
      </c>
      <c r="F1163" s="15" t="n">
        <v>74223.57</v>
      </c>
      <c r="G1163" s="16" t="n">
        <f aca="false">ROUND(E1163+F1163,2)</f>
        <v>257326.83</v>
      </c>
    </row>
    <row r="1164" customFormat="false" ht="15" hidden="false" customHeight="false" outlineLevel="0" collapsed="false">
      <c r="A1164" s="14" t="s">
        <v>32</v>
      </c>
      <c r="B1164" s="14" t="n">
        <v>2025</v>
      </c>
      <c r="C1164" s="14" t="n">
        <v>5</v>
      </c>
      <c r="D1164" s="14" t="s">
        <v>54</v>
      </c>
      <c r="E1164" s="15" t="n">
        <v>191403.86</v>
      </c>
      <c r="F1164" s="15" t="n">
        <v>70582.35</v>
      </c>
      <c r="G1164" s="16" t="n">
        <f aca="false">ROUND(E1164+F1164,2)</f>
        <v>261986.21</v>
      </c>
    </row>
    <row r="1165" customFormat="false" ht="15" hidden="false" customHeight="false" outlineLevel="0" collapsed="false">
      <c r="A1165" s="14" t="s">
        <v>32</v>
      </c>
      <c r="B1165" s="14" t="n">
        <v>2025</v>
      </c>
      <c r="C1165" s="14" t="n">
        <v>6</v>
      </c>
      <c r="D1165" s="14" t="s">
        <v>55</v>
      </c>
      <c r="E1165" s="15" t="n">
        <v>164166.47</v>
      </c>
      <c r="F1165" s="15" t="n">
        <v>65935.41</v>
      </c>
      <c r="G1165" s="16" t="n">
        <f aca="false">ROUND(E1165+F1165,2)</f>
        <v>230101.88</v>
      </c>
    </row>
    <row r="1166" customFormat="false" ht="15" hidden="false" customHeight="false" outlineLevel="0" collapsed="false">
      <c r="A1166" s="14" t="s">
        <v>32</v>
      </c>
      <c r="B1166" s="14" t="n">
        <v>2025</v>
      </c>
      <c r="C1166" s="14" t="n">
        <v>7</v>
      </c>
      <c r="D1166" s="14" t="s">
        <v>56</v>
      </c>
      <c r="E1166" s="15" t="n">
        <v>165192.98</v>
      </c>
      <c r="F1166" s="15" t="n">
        <v>75612.26</v>
      </c>
      <c r="G1166" s="16" t="n">
        <f aca="false">ROUND(E1166+F1166,2)</f>
        <v>240805.24</v>
      </c>
    </row>
    <row r="1167" customFormat="false" ht="15" hidden="false" customHeight="false" outlineLevel="0" collapsed="false">
      <c r="A1167" s="14" t="s">
        <v>32</v>
      </c>
      <c r="B1167" s="14" t="n">
        <v>2025</v>
      </c>
      <c r="C1167" s="14" t="n">
        <v>8</v>
      </c>
      <c r="D1167" s="14" t="s">
        <v>57</v>
      </c>
      <c r="E1167" s="15" t="n">
        <v>178976.28</v>
      </c>
      <c r="F1167" s="15" t="n">
        <v>95502.37</v>
      </c>
      <c r="G1167" s="16" t="n">
        <f aca="false">ROUND(E1167+F1167,2)</f>
        <v>274478.65</v>
      </c>
    </row>
    <row r="1168" customFormat="false" ht="15" hidden="false" customHeight="false" outlineLevel="0" collapsed="false">
      <c r="A1168" s="14" t="s">
        <v>32</v>
      </c>
      <c r="B1168" s="14" t="n">
        <v>2025</v>
      </c>
      <c r="C1168" s="14" t="n">
        <v>9</v>
      </c>
      <c r="D1168" s="14" t="s">
        <v>58</v>
      </c>
      <c r="E1168" s="15" t="n">
        <v>139572.17</v>
      </c>
      <c r="F1168" s="15" t="n">
        <v>56955.79</v>
      </c>
      <c r="G1168" s="16" t="n">
        <f aca="false">ROUND(E1168+F1168,2)</f>
        <v>196527.96</v>
      </c>
    </row>
    <row r="1169" customFormat="false" ht="15" hidden="false" customHeight="false" outlineLevel="0" collapsed="false">
      <c r="A1169" s="14" t="s">
        <v>32</v>
      </c>
      <c r="B1169" s="14" t="n">
        <v>2025</v>
      </c>
      <c r="C1169" s="14" t="n">
        <v>10</v>
      </c>
      <c r="D1169" s="14" t="s">
        <v>59</v>
      </c>
      <c r="E1169" s="15" t="n">
        <v>215032.09</v>
      </c>
      <c r="F1169" s="15" t="n">
        <v>83324.42</v>
      </c>
      <c r="G1169" s="16" t="n">
        <f aca="false">ROUND(E1169+F1169,2)</f>
        <v>298356.51</v>
      </c>
    </row>
    <row r="1170" customFormat="false" ht="15" hidden="false" customHeight="false" outlineLevel="0" collapsed="false">
      <c r="A1170" s="14" t="s">
        <v>32</v>
      </c>
      <c r="B1170" s="14" t="n">
        <v>2025</v>
      </c>
      <c r="C1170" s="14" t="n">
        <v>11</v>
      </c>
      <c r="D1170" s="14" t="s">
        <v>60</v>
      </c>
      <c r="E1170" s="15" t="n">
        <v>214137.33</v>
      </c>
      <c r="F1170" s="15" t="n">
        <v>73458.6</v>
      </c>
      <c r="G1170" s="16" t="n">
        <f aca="false">ROUND(E1170+F1170,2)</f>
        <v>287595.93</v>
      </c>
    </row>
    <row r="1171" customFormat="false" ht="15" hidden="false" customHeight="false" outlineLevel="0" collapsed="false">
      <c r="A1171" s="14" t="s">
        <v>32</v>
      </c>
      <c r="B1171" s="14" t="n">
        <v>2025</v>
      </c>
      <c r="C1171" s="14" t="n">
        <v>12</v>
      </c>
      <c r="D1171" s="14" t="s">
        <v>61</v>
      </c>
      <c r="E1171" s="15" t="n">
        <v>243474.5</v>
      </c>
      <c r="F1171" s="15" t="n">
        <v>105089.02</v>
      </c>
      <c r="G1171" s="16" t="n">
        <f aca="false">ROUND(E1171+F1171,2)</f>
        <v>348563.52</v>
      </c>
    </row>
    <row r="1172" customFormat="false" ht="15" hidden="false" customHeight="false" outlineLevel="0" collapsed="false">
      <c r="A1172" s="14" t="s">
        <v>32</v>
      </c>
      <c r="B1172" s="14" t="n">
        <v>2026</v>
      </c>
      <c r="C1172" s="14" t="n">
        <v>1</v>
      </c>
      <c r="D1172" s="14" t="s">
        <v>50</v>
      </c>
      <c r="E1172" s="15" t="n">
        <v>220081.2</v>
      </c>
      <c r="F1172" s="15" t="n">
        <v>98249.62</v>
      </c>
      <c r="G1172" s="16" t="n">
        <f aca="false">ROUND(E1172+F1172,2)</f>
        <v>318330.82</v>
      </c>
    </row>
    <row r="1173" customFormat="false" ht="15" hidden="false" customHeight="false" outlineLevel="0" collapsed="false">
      <c r="A1173" s="14" t="s">
        <v>32</v>
      </c>
      <c r="B1173" s="14" t="n">
        <v>2026</v>
      </c>
      <c r="C1173" s="14" t="n">
        <v>2</v>
      </c>
      <c r="D1173" s="14" t="s">
        <v>51</v>
      </c>
      <c r="E1173" s="15" t="n">
        <v>219688.36</v>
      </c>
      <c r="F1173" s="15" t="n">
        <v>92743.03</v>
      </c>
      <c r="G1173" s="16" t="n">
        <f aca="false">ROUND(E1173+F1173,2)</f>
        <v>312431.39</v>
      </c>
    </row>
    <row r="1174" customFormat="false" ht="15" hidden="false" customHeight="false" outlineLevel="0" collapsed="false">
      <c r="A1174" s="14" t="s">
        <v>32</v>
      </c>
      <c r="B1174" s="14" t="n">
        <v>2026</v>
      </c>
      <c r="C1174" s="14" t="n">
        <v>3</v>
      </c>
      <c r="D1174" s="14" t="s">
        <v>52</v>
      </c>
      <c r="E1174" s="15" t="n">
        <v>242099.99</v>
      </c>
      <c r="F1174" s="15" t="n">
        <v>115703.54</v>
      </c>
      <c r="G1174" s="16" t="n">
        <f aca="false">ROUND(E1174+F1174,2)</f>
        <v>357803.53</v>
      </c>
    </row>
    <row r="1175" customFormat="false" ht="15" hidden="false" customHeight="false" outlineLevel="0" collapsed="false">
      <c r="A1175" s="14" t="s">
        <v>32</v>
      </c>
      <c r="B1175" s="14" t="n">
        <v>2026</v>
      </c>
      <c r="C1175" s="14" t="n">
        <v>4</v>
      </c>
      <c r="D1175" s="14" t="s">
        <v>53</v>
      </c>
      <c r="E1175" s="15" t="n">
        <v>225354.2</v>
      </c>
      <c r="F1175" s="15" t="n">
        <v>90681.24</v>
      </c>
      <c r="G1175" s="16" t="n">
        <f aca="false">ROUND(E1175+F1175,2)</f>
        <v>316035.44</v>
      </c>
    </row>
    <row r="1176" customFormat="false" ht="15" hidden="false" customHeight="false" outlineLevel="0" collapsed="false">
      <c r="A1176" s="14" t="s">
        <v>32</v>
      </c>
      <c r="B1176" s="14" t="n">
        <v>2026</v>
      </c>
      <c r="C1176" s="14" t="n">
        <v>5</v>
      </c>
      <c r="D1176" s="14" t="s">
        <v>54</v>
      </c>
      <c r="E1176" s="15" t="n">
        <v>211300.66</v>
      </c>
      <c r="F1176" s="15" t="n">
        <v>85929.13</v>
      </c>
      <c r="G1176" s="16" t="n">
        <f aca="false">ROUND(E1176+F1176,2)</f>
        <v>297229.79</v>
      </c>
    </row>
    <row r="1177" customFormat="false" ht="15" hidden="false" customHeight="false" outlineLevel="0" collapsed="false">
      <c r="A1177" s="14" t="s">
        <v>32</v>
      </c>
      <c r="B1177" s="14" t="n">
        <v>2026</v>
      </c>
      <c r="C1177" s="14" t="n">
        <v>6</v>
      </c>
      <c r="D1177" s="14" t="s">
        <v>55</v>
      </c>
      <c r="E1177" s="15" t="n">
        <v>220497.88</v>
      </c>
      <c r="F1177" s="15" t="n">
        <v>90034.43</v>
      </c>
      <c r="G1177" s="16" t="n">
        <f aca="false">ROUND(E1177+F1177,2)</f>
        <v>310532.31</v>
      </c>
    </row>
    <row r="1178" customFormat="false" ht="15" hidden="false" customHeight="false" outlineLevel="0" collapsed="false">
      <c r="A1178" s="14" t="s">
        <v>32</v>
      </c>
      <c r="B1178" s="14" t="n">
        <v>2026</v>
      </c>
      <c r="C1178" s="14" t="n">
        <v>7</v>
      </c>
      <c r="D1178" s="14" t="s">
        <v>56</v>
      </c>
      <c r="E1178" s="15" t="n">
        <v>237136.14</v>
      </c>
      <c r="F1178" s="15" t="n">
        <v>103967.77</v>
      </c>
      <c r="G1178" s="16" t="n">
        <f aca="false">ROUND(E1178+F1178,2)</f>
        <v>341103.91</v>
      </c>
    </row>
    <row r="1179" customFormat="false" ht="15" hidden="false" customHeight="false" outlineLevel="0" collapsed="false">
      <c r="A1179" s="14" t="s">
        <v>28</v>
      </c>
      <c r="B1179" s="14" t="n">
        <v>2021</v>
      </c>
      <c r="C1179" s="14" t="n">
        <v>1</v>
      </c>
      <c r="D1179" s="14" t="s">
        <v>50</v>
      </c>
      <c r="E1179" s="15" t="n">
        <v>0</v>
      </c>
      <c r="F1179" s="15" t="n">
        <v>0</v>
      </c>
      <c r="G1179" s="16" t="n">
        <f aca="false">ROUND(E1179+F1179,2)</f>
        <v>0</v>
      </c>
    </row>
    <row r="1180" customFormat="false" ht="15" hidden="false" customHeight="false" outlineLevel="0" collapsed="false">
      <c r="A1180" s="14" t="s">
        <v>28</v>
      </c>
      <c r="B1180" s="14" t="n">
        <v>2021</v>
      </c>
      <c r="C1180" s="14" t="n">
        <v>2</v>
      </c>
      <c r="D1180" s="14" t="s">
        <v>51</v>
      </c>
      <c r="E1180" s="15" t="n">
        <v>0</v>
      </c>
      <c r="F1180" s="15" t="n">
        <v>0</v>
      </c>
      <c r="G1180" s="16" t="n">
        <f aca="false">ROUND(E1180+F1180,2)</f>
        <v>0</v>
      </c>
    </row>
    <row r="1181" customFormat="false" ht="15" hidden="false" customHeight="false" outlineLevel="0" collapsed="false">
      <c r="A1181" s="14" t="s">
        <v>28</v>
      </c>
      <c r="B1181" s="14" t="n">
        <v>2021</v>
      </c>
      <c r="C1181" s="14" t="n">
        <v>3</v>
      </c>
      <c r="D1181" s="14" t="s">
        <v>52</v>
      </c>
      <c r="E1181" s="15" t="n">
        <v>0</v>
      </c>
      <c r="F1181" s="15" t="n">
        <v>0</v>
      </c>
      <c r="G1181" s="16" t="n">
        <f aca="false">ROUND(E1181+F1181,2)</f>
        <v>0</v>
      </c>
    </row>
    <row r="1182" customFormat="false" ht="15" hidden="false" customHeight="false" outlineLevel="0" collapsed="false">
      <c r="A1182" s="14" t="s">
        <v>28</v>
      </c>
      <c r="B1182" s="14" t="n">
        <v>2021</v>
      </c>
      <c r="C1182" s="14" t="n">
        <v>4</v>
      </c>
      <c r="D1182" s="14" t="s">
        <v>53</v>
      </c>
      <c r="E1182" s="15" t="n">
        <v>0</v>
      </c>
      <c r="F1182" s="15" t="n">
        <v>0</v>
      </c>
      <c r="G1182" s="16" t="n">
        <f aca="false">ROUND(E1182+F1182,2)</f>
        <v>0</v>
      </c>
    </row>
    <row r="1183" customFormat="false" ht="15" hidden="false" customHeight="false" outlineLevel="0" collapsed="false">
      <c r="A1183" s="14" t="s">
        <v>28</v>
      </c>
      <c r="B1183" s="14" t="n">
        <v>2021</v>
      </c>
      <c r="C1183" s="14" t="n">
        <v>5</v>
      </c>
      <c r="D1183" s="14" t="s">
        <v>54</v>
      </c>
      <c r="E1183" s="15" t="n">
        <v>0</v>
      </c>
      <c r="F1183" s="15" t="n">
        <v>0</v>
      </c>
      <c r="G1183" s="16" t="n">
        <f aca="false">ROUND(E1183+F1183,2)</f>
        <v>0</v>
      </c>
    </row>
    <row r="1184" customFormat="false" ht="15" hidden="false" customHeight="false" outlineLevel="0" collapsed="false">
      <c r="A1184" s="14" t="s">
        <v>28</v>
      </c>
      <c r="B1184" s="14" t="n">
        <v>2021</v>
      </c>
      <c r="C1184" s="14" t="n">
        <v>6</v>
      </c>
      <c r="D1184" s="14" t="s">
        <v>55</v>
      </c>
      <c r="E1184" s="15" t="n">
        <v>0</v>
      </c>
      <c r="F1184" s="15" t="n">
        <v>0</v>
      </c>
      <c r="G1184" s="16" t="n">
        <f aca="false">ROUND(E1184+F1184,2)</f>
        <v>0</v>
      </c>
    </row>
    <row r="1185" customFormat="false" ht="15" hidden="false" customHeight="false" outlineLevel="0" collapsed="false">
      <c r="A1185" s="14" t="s">
        <v>28</v>
      </c>
      <c r="B1185" s="14" t="n">
        <v>2021</v>
      </c>
      <c r="C1185" s="14" t="n">
        <v>7</v>
      </c>
      <c r="D1185" s="14" t="s">
        <v>56</v>
      </c>
      <c r="E1185" s="15" t="n">
        <v>139288.35</v>
      </c>
      <c r="F1185" s="15" t="n">
        <v>44856.3</v>
      </c>
      <c r="G1185" s="16" t="n">
        <f aca="false">ROUND(E1185+F1185,2)</f>
        <v>184144.65</v>
      </c>
    </row>
    <row r="1186" customFormat="false" ht="15" hidden="false" customHeight="false" outlineLevel="0" collapsed="false">
      <c r="A1186" s="14" t="s">
        <v>28</v>
      </c>
      <c r="B1186" s="14" t="n">
        <v>2021</v>
      </c>
      <c r="C1186" s="14" t="n">
        <v>8</v>
      </c>
      <c r="D1186" s="14" t="s">
        <v>57</v>
      </c>
      <c r="E1186" s="15" t="n">
        <v>125284.56</v>
      </c>
      <c r="F1186" s="15" t="n">
        <v>58944.81</v>
      </c>
      <c r="G1186" s="16" t="n">
        <f aca="false">ROUND(E1186+F1186,2)</f>
        <v>184229.37</v>
      </c>
    </row>
    <row r="1187" customFormat="false" ht="15" hidden="false" customHeight="false" outlineLevel="0" collapsed="false">
      <c r="A1187" s="14" t="s">
        <v>28</v>
      </c>
      <c r="B1187" s="14" t="n">
        <v>2021</v>
      </c>
      <c r="C1187" s="14" t="n">
        <v>9</v>
      </c>
      <c r="D1187" s="14" t="s">
        <v>58</v>
      </c>
      <c r="E1187" s="15" t="n">
        <v>115082.22</v>
      </c>
      <c r="F1187" s="15" t="n">
        <v>56202.75</v>
      </c>
      <c r="G1187" s="16" t="n">
        <f aca="false">ROUND(E1187+F1187,2)</f>
        <v>171284.97</v>
      </c>
    </row>
    <row r="1188" customFormat="false" ht="15" hidden="false" customHeight="false" outlineLevel="0" collapsed="false">
      <c r="A1188" s="14" t="s">
        <v>28</v>
      </c>
      <c r="B1188" s="14" t="n">
        <v>2021</v>
      </c>
      <c r="C1188" s="14" t="n">
        <v>10</v>
      </c>
      <c r="D1188" s="14" t="s">
        <v>59</v>
      </c>
      <c r="E1188" s="15" t="n">
        <v>111651.88</v>
      </c>
      <c r="F1188" s="15" t="n">
        <v>61688.42</v>
      </c>
      <c r="G1188" s="16" t="n">
        <f aca="false">ROUND(E1188+F1188,2)</f>
        <v>173340.3</v>
      </c>
    </row>
    <row r="1189" customFormat="false" ht="15" hidden="false" customHeight="false" outlineLevel="0" collapsed="false">
      <c r="A1189" s="14" t="s">
        <v>28</v>
      </c>
      <c r="B1189" s="14" t="n">
        <v>2021</v>
      </c>
      <c r="C1189" s="14" t="n">
        <v>11</v>
      </c>
      <c r="D1189" s="14" t="s">
        <v>60</v>
      </c>
      <c r="E1189" s="15" t="n">
        <v>103099.17</v>
      </c>
      <c r="F1189" s="15" t="n">
        <v>48498.21</v>
      </c>
      <c r="G1189" s="16" t="n">
        <f aca="false">ROUND(E1189+F1189,2)</f>
        <v>151597.38</v>
      </c>
    </row>
    <row r="1190" customFormat="false" ht="15" hidden="false" customHeight="false" outlineLevel="0" collapsed="false">
      <c r="A1190" s="14" t="s">
        <v>28</v>
      </c>
      <c r="B1190" s="14" t="n">
        <v>2021</v>
      </c>
      <c r="C1190" s="14" t="n">
        <v>12</v>
      </c>
      <c r="D1190" s="14" t="s">
        <v>61</v>
      </c>
      <c r="E1190" s="15" t="n">
        <v>91849.85</v>
      </c>
      <c r="F1190" s="15" t="n">
        <v>47447.07</v>
      </c>
      <c r="G1190" s="16" t="n">
        <f aca="false">ROUND(E1190+F1190,2)</f>
        <v>139296.92</v>
      </c>
    </row>
    <row r="1191" customFormat="false" ht="15" hidden="false" customHeight="false" outlineLevel="0" collapsed="false">
      <c r="A1191" s="14" t="s">
        <v>28</v>
      </c>
      <c r="B1191" s="14" t="n">
        <v>2022</v>
      </c>
      <c r="C1191" s="14" t="n">
        <v>1</v>
      </c>
      <c r="D1191" s="14" t="s">
        <v>50</v>
      </c>
      <c r="E1191" s="15" t="n">
        <v>101184.78</v>
      </c>
      <c r="F1191" s="15" t="n">
        <v>59061.86</v>
      </c>
      <c r="G1191" s="16" t="n">
        <f aca="false">ROUND(E1191+F1191,2)</f>
        <v>160246.64</v>
      </c>
    </row>
    <row r="1192" customFormat="false" ht="15" hidden="false" customHeight="false" outlineLevel="0" collapsed="false">
      <c r="A1192" s="14" t="s">
        <v>28</v>
      </c>
      <c r="B1192" s="14" t="n">
        <v>2022</v>
      </c>
      <c r="C1192" s="14" t="n">
        <v>2</v>
      </c>
      <c r="D1192" s="14" t="s">
        <v>51</v>
      </c>
      <c r="E1192" s="15" t="n">
        <v>123978.15</v>
      </c>
      <c r="F1192" s="15" t="n">
        <v>60593.76</v>
      </c>
      <c r="G1192" s="16" t="n">
        <f aca="false">ROUND(E1192+F1192,2)</f>
        <v>184571.91</v>
      </c>
    </row>
    <row r="1193" customFormat="false" ht="15" hidden="false" customHeight="false" outlineLevel="0" collapsed="false">
      <c r="A1193" s="14" t="s">
        <v>28</v>
      </c>
      <c r="B1193" s="14" t="n">
        <v>2022</v>
      </c>
      <c r="C1193" s="14" t="n">
        <v>3</v>
      </c>
      <c r="D1193" s="14" t="s">
        <v>52</v>
      </c>
      <c r="E1193" s="15" t="n">
        <v>134133.09</v>
      </c>
      <c r="F1193" s="15" t="n">
        <v>84405.11</v>
      </c>
      <c r="G1193" s="16" t="n">
        <f aca="false">ROUND(E1193+F1193,2)</f>
        <v>218538.2</v>
      </c>
    </row>
    <row r="1194" customFormat="false" ht="15" hidden="false" customHeight="false" outlineLevel="0" collapsed="false">
      <c r="A1194" s="14" t="s">
        <v>28</v>
      </c>
      <c r="B1194" s="14" t="n">
        <v>2022</v>
      </c>
      <c r="C1194" s="14" t="n">
        <v>4</v>
      </c>
      <c r="D1194" s="14" t="s">
        <v>53</v>
      </c>
      <c r="E1194" s="15" t="n">
        <v>124163.6</v>
      </c>
      <c r="F1194" s="15" t="n">
        <v>77588.78</v>
      </c>
      <c r="G1194" s="16" t="n">
        <f aca="false">ROUND(E1194+F1194,2)</f>
        <v>201752.38</v>
      </c>
    </row>
    <row r="1195" customFormat="false" ht="15" hidden="false" customHeight="false" outlineLevel="0" collapsed="false">
      <c r="A1195" s="14" t="s">
        <v>28</v>
      </c>
      <c r="B1195" s="14" t="n">
        <v>2022</v>
      </c>
      <c r="C1195" s="14" t="n">
        <v>5</v>
      </c>
      <c r="D1195" s="14" t="s">
        <v>54</v>
      </c>
      <c r="E1195" s="15" t="n">
        <v>97646.88</v>
      </c>
      <c r="F1195" s="15" t="n">
        <v>79500.36</v>
      </c>
      <c r="G1195" s="16" t="n">
        <f aca="false">ROUND(E1195+F1195,2)</f>
        <v>177147.24</v>
      </c>
    </row>
    <row r="1196" customFormat="false" ht="15" hidden="false" customHeight="false" outlineLevel="0" collapsed="false">
      <c r="A1196" s="14" t="s">
        <v>28</v>
      </c>
      <c r="B1196" s="14" t="n">
        <v>2022</v>
      </c>
      <c r="C1196" s="14" t="n">
        <v>6</v>
      </c>
      <c r="D1196" s="14" t="s">
        <v>55</v>
      </c>
      <c r="E1196" s="15" t="n">
        <v>94444.46</v>
      </c>
      <c r="F1196" s="15" t="n">
        <v>60819.65</v>
      </c>
      <c r="G1196" s="16" t="n">
        <f aca="false">ROUND(E1196+F1196,2)</f>
        <v>155264.11</v>
      </c>
    </row>
    <row r="1197" customFormat="false" ht="15" hidden="false" customHeight="false" outlineLevel="0" collapsed="false">
      <c r="A1197" s="14" t="s">
        <v>28</v>
      </c>
      <c r="B1197" s="14" t="n">
        <v>2022</v>
      </c>
      <c r="C1197" s="14" t="n">
        <v>7</v>
      </c>
      <c r="D1197" s="14" t="s">
        <v>56</v>
      </c>
      <c r="E1197" s="15" t="n">
        <v>109135.58</v>
      </c>
      <c r="F1197" s="15" t="n">
        <v>72822.33</v>
      </c>
      <c r="G1197" s="16" t="n">
        <f aca="false">ROUND(E1197+F1197,2)</f>
        <v>181957.91</v>
      </c>
    </row>
    <row r="1198" customFormat="false" ht="15" hidden="false" customHeight="false" outlineLevel="0" collapsed="false">
      <c r="A1198" s="14" t="s">
        <v>28</v>
      </c>
      <c r="B1198" s="14" t="n">
        <v>2022</v>
      </c>
      <c r="C1198" s="14" t="n">
        <v>8</v>
      </c>
      <c r="D1198" s="14" t="s">
        <v>57</v>
      </c>
      <c r="E1198" s="15" t="n">
        <v>103555.41</v>
      </c>
      <c r="F1198" s="15" t="n">
        <v>92878.25</v>
      </c>
      <c r="G1198" s="16" t="n">
        <f aca="false">ROUND(E1198+F1198,2)</f>
        <v>196433.66</v>
      </c>
    </row>
    <row r="1199" customFormat="false" ht="15" hidden="false" customHeight="false" outlineLevel="0" collapsed="false">
      <c r="A1199" s="14" t="s">
        <v>28</v>
      </c>
      <c r="B1199" s="14" t="n">
        <v>2022</v>
      </c>
      <c r="C1199" s="14" t="n">
        <v>9</v>
      </c>
      <c r="D1199" s="14" t="s">
        <v>58</v>
      </c>
      <c r="E1199" s="15" t="n">
        <v>123708.22</v>
      </c>
      <c r="F1199" s="15" t="n">
        <v>63989.71</v>
      </c>
      <c r="G1199" s="16" t="n">
        <f aca="false">ROUND(E1199+F1199,2)</f>
        <v>187697.93</v>
      </c>
    </row>
    <row r="1200" customFormat="false" ht="15" hidden="false" customHeight="false" outlineLevel="0" collapsed="false">
      <c r="A1200" s="14" t="s">
        <v>28</v>
      </c>
      <c r="B1200" s="14" t="n">
        <v>2022</v>
      </c>
      <c r="C1200" s="14" t="n">
        <v>10</v>
      </c>
      <c r="D1200" s="14" t="s">
        <v>59</v>
      </c>
      <c r="E1200" s="15" t="n">
        <v>141758.84</v>
      </c>
      <c r="F1200" s="15" t="n">
        <v>71196.12</v>
      </c>
      <c r="G1200" s="16" t="n">
        <f aca="false">ROUND(E1200+F1200,2)</f>
        <v>212954.96</v>
      </c>
    </row>
    <row r="1201" customFormat="false" ht="15" hidden="false" customHeight="false" outlineLevel="0" collapsed="false">
      <c r="A1201" s="14" t="s">
        <v>28</v>
      </c>
      <c r="B1201" s="14" t="n">
        <v>2022</v>
      </c>
      <c r="C1201" s="14" t="n">
        <v>11</v>
      </c>
      <c r="D1201" s="14" t="s">
        <v>60</v>
      </c>
      <c r="E1201" s="15" t="n">
        <v>113687.45</v>
      </c>
      <c r="F1201" s="15" t="n">
        <v>74225.38</v>
      </c>
      <c r="G1201" s="16" t="n">
        <f aca="false">ROUND(E1201+F1201,2)</f>
        <v>187912.83</v>
      </c>
    </row>
    <row r="1202" customFormat="false" ht="15" hidden="false" customHeight="false" outlineLevel="0" collapsed="false">
      <c r="A1202" s="14" t="s">
        <v>28</v>
      </c>
      <c r="B1202" s="14" t="n">
        <v>2022</v>
      </c>
      <c r="C1202" s="14" t="n">
        <v>12</v>
      </c>
      <c r="D1202" s="14" t="s">
        <v>61</v>
      </c>
      <c r="E1202" s="15" t="n">
        <v>131698.52</v>
      </c>
      <c r="F1202" s="15" t="n">
        <v>74316.87</v>
      </c>
      <c r="G1202" s="16" t="n">
        <f aca="false">ROUND(E1202+F1202,2)</f>
        <v>206015.39</v>
      </c>
    </row>
    <row r="1203" customFormat="false" ht="15" hidden="false" customHeight="false" outlineLevel="0" collapsed="false">
      <c r="A1203" s="14" t="s">
        <v>28</v>
      </c>
      <c r="B1203" s="14" t="n">
        <v>2023</v>
      </c>
      <c r="C1203" s="14" t="n">
        <v>1</v>
      </c>
      <c r="D1203" s="14" t="s">
        <v>50</v>
      </c>
      <c r="E1203" s="15" t="n">
        <v>152333.12</v>
      </c>
      <c r="F1203" s="15" t="n">
        <v>98058.06</v>
      </c>
      <c r="G1203" s="16" t="n">
        <f aca="false">ROUND(E1203+F1203,2)</f>
        <v>250391.18</v>
      </c>
    </row>
    <row r="1204" customFormat="false" ht="15" hidden="false" customHeight="false" outlineLevel="0" collapsed="false">
      <c r="A1204" s="14" t="s">
        <v>28</v>
      </c>
      <c r="B1204" s="14" t="n">
        <v>2023</v>
      </c>
      <c r="C1204" s="14" t="n">
        <v>2</v>
      </c>
      <c r="D1204" s="14" t="s">
        <v>51</v>
      </c>
      <c r="E1204" s="15" t="n">
        <v>107440.11</v>
      </c>
      <c r="F1204" s="15" t="n">
        <v>74392.11</v>
      </c>
      <c r="G1204" s="16" t="n">
        <f aca="false">ROUND(E1204+F1204,2)</f>
        <v>181832.22</v>
      </c>
    </row>
    <row r="1205" customFormat="false" ht="15" hidden="false" customHeight="false" outlineLevel="0" collapsed="false">
      <c r="A1205" s="14" t="s">
        <v>28</v>
      </c>
      <c r="B1205" s="14" t="n">
        <v>2023</v>
      </c>
      <c r="C1205" s="14" t="n">
        <v>3</v>
      </c>
      <c r="D1205" s="14" t="s">
        <v>52</v>
      </c>
      <c r="E1205" s="15" t="n">
        <v>165857.1</v>
      </c>
      <c r="F1205" s="15" t="n">
        <v>90773.46</v>
      </c>
      <c r="G1205" s="16" t="n">
        <f aca="false">ROUND(E1205+F1205,2)</f>
        <v>256630.56</v>
      </c>
    </row>
    <row r="1206" customFormat="false" ht="15" hidden="false" customHeight="false" outlineLevel="0" collapsed="false">
      <c r="A1206" s="14" t="s">
        <v>28</v>
      </c>
      <c r="B1206" s="14" t="n">
        <v>2023</v>
      </c>
      <c r="C1206" s="14" t="n">
        <v>4</v>
      </c>
      <c r="D1206" s="14" t="s">
        <v>53</v>
      </c>
      <c r="E1206" s="15" t="n">
        <v>125381.08</v>
      </c>
      <c r="F1206" s="15" t="n">
        <v>91866.31</v>
      </c>
      <c r="G1206" s="16" t="n">
        <f aca="false">ROUND(E1206+F1206,2)</f>
        <v>217247.39</v>
      </c>
    </row>
    <row r="1207" customFormat="false" ht="15" hidden="false" customHeight="false" outlineLevel="0" collapsed="false">
      <c r="A1207" s="14" t="s">
        <v>28</v>
      </c>
      <c r="B1207" s="14" t="n">
        <v>2023</v>
      </c>
      <c r="C1207" s="14" t="n">
        <v>5</v>
      </c>
      <c r="D1207" s="14" t="s">
        <v>54</v>
      </c>
      <c r="E1207" s="15" t="n">
        <v>169464.76</v>
      </c>
      <c r="F1207" s="15" t="n">
        <v>107407.41</v>
      </c>
      <c r="G1207" s="16" t="n">
        <f aca="false">ROUND(E1207+F1207,2)</f>
        <v>276872.17</v>
      </c>
    </row>
    <row r="1208" customFormat="false" ht="15" hidden="false" customHeight="false" outlineLevel="0" collapsed="false">
      <c r="A1208" s="14" t="s">
        <v>28</v>
      </c>
      <c r="B1208" s="14" t="n">
        <v>2023</v>
      </c>
      <c r="C1208" s="14" t="n">
        <v>6</v>
      </c>
      <c r="D1208" s="14" t="s">
        <v>55</v>
      </c>
      <c r="E1208" s="15" t="n">
        <v>151085.56</v>
      </c>
      <c r="F1208" s="15" t="n">
        <v>82475.9</v>
      </c>
      <c r="G1208" s="16" t="n">
        <f aca="false">ROUND(E1208+F1208,2)</f>
        <v>233561.46</v>
      </c>
    </row>
    <row r="1209" customFormat="false" ht="15" hidden="false" customHeight="false" outlineLevel="0" collapsed="false">
      <c r="A1209" s="14" t="s">
        <v>28</v>
      </c>
      <c r="B1209" s="14" t="n">
        <v>2023</v>
      </c>
      <c r="C1209" s="14" t="n">
        <v>7</v>
      </c>
      <c r="D1209" s="14" t="s">
        <v>56</v>
      </c>
      <c r="E1209" s="15" t="n">
        <v>154395.36</v>
      </c>
      <c r="F1209" s="15" t="n">
        <v>93029.26</v>
      </c>
      <c r="G1209" s="16" t="n">
        <f aca="false">ROUND(E1209+F1209,2)</f>
        <v>247424.62</v>
      </c>
    </row>
    <row r="1210" customFormat="false" ht="15" hidden="false" customHeight="false" outlineLevel="0" collapsed="false">
      <c r="A1210" s="14" t="s">
        <v>28</v>
      </c>
      <c r="B1210" s="14" t="n">
        <v>2023</v>
      </c>
      <c r="C1210" s="14" t="n">
        <v>8</v>
      </c>
      <c r="D1210" s="14" t="s">
        <v>57</v>
      </c>
      <c r="E1210" s="15" t="n">
        <v>170256.13</v>
      </c>
      <c r="F1210" s="15" t="n">
        <v>103413.33</v>
      </c>
      <c r="G1210" s="16" t="n">
        <f aca="false">ROUND(E1210+F1210,2)</f>
        <v>273669.46</v>
      </c>
    </row>
    <row r="1211" customFormat="false" ht="15" hidden="false" customHeight="false" outlineLevel="0" collapsed="false">
      <c r="A1211" s="14" t="s">
        <v>28</v>
      </c>
      <c r="B1211" s="14" t="n">
        <v>2023</v>
      </c>
      <c r="C1211" s="14" t="n">
        <v>9</v>
      </c>
      <c r="D1211" s="14" t="s">
        <v>58</v>
      </c>
      <c r="E1211" s="15" t="n">
        <v>158828.19</v>
      </c>
      <c r="F1211" s="15" t="n">
        <v>87804.84</v>
      </c>
      <c r="G1211" s="16" t="n">
        <f aca="false">ROUND(E1211+F1211,2)</f>
        <v>246633.03</v>
      </c>
    </row>
    <row r="1212" customFormat="false" ht="15" hidden="false" customHeight="false" outlineLevel="0" collapsed="false">
      <c r="A1212" s="14" t="s">
        <v>28</v>
      </c>
      <c r="B1212" s="14" t="n">
        <v>2023</v>
      </c>
      <c r="C1212" s="14" t="n">
        <v>10</v>
      </c>
      <c r="D1212" s="14" t="s">
        <v>59</v>
      </c>
      <c r="E1212" s="15" t="n">
        <v>167618.28</v>
      </c>
      <c r="F1212" s="15" t="n">
        <v>110076.77</v>
      </c>
      <c r="G1212" s="16" t="n">
        <f aca="false">ROUND(E1212+F1212,2)</f>
        <v>277695.05</v>
      </c>
    </row>
    <row r="1213" customFormat="false" ht="15" hidden="false" customHeight="false" outlineLevel="0" collapsed="false">
      <c r="A1213" s="14" t="s">
        <v>28</v>
      </c>
      <c r="B1213" s="14" t="n">
        <v>2023</v>
      </c>
      <c r="C1213" s="14" t="n">
        <v>11</v>
      </c>
      <c r="D1213" s="14" t="s">
        <v>60</v>
      </c>
      <c r="E1213" s="15" t="n">
        <v>137585.14</v>
      </c>
      <c r="F1213" s="15" t="n">
        <v>78430.37</v>
      </c>
      <c r="G1213" s="16" t="n">
        <f aca="false">ROUND(E1213+F1213,2)</f>
        <v>216015.51</v>
      </c>
    </row>
    <row r="1214" customFormat="false" ht="15" hidden="false" customHeight="false" outlineLevel="0" collapsed="false">
      <c r="A1214" s="14" t="s">
        <v>28</v>
      </c>
      <c r="B1214" s="14" t="n">
        <v>2023</v>
      </c>
      <c r="C1214" s="14" t="n">
        <v>12</v>
      </c>
      <c r="D1214" s="14" t="s">
        <v>61</v>
      </c>
      <c r="E1214" s="15" t="n">
        <v>143855.3</v>
      </c>
      <c r="F1214" s="15" t="n">
        <v>79401.86</v>
      </c>
      <c r="G1214" s="16" t="n">
        <f aca="false">ROUND(E1214+F1214,2)</f>
        <v>223257.16</v>
      </c>
    </row>
    <row r="1215" customFormat="false" ht="15" hidden="false" customHeight="false" outlineLevel="0" collapsed="false">
      <c r="A1215" s="14" t="s">
        <v>28</v>
      </c>
      <c r="B1215" s="14" t="n">
        <v>2024</v>
      </c>
      <c r="C1215" s="14" t="n">
        <v>1</v>
      </c>
      <c r="D1215" s="14" t="s">
        <v>50</v>
      </c>
      <c r="E1215" s="15" t="n">
        <v>177122.42</v>
      </c>
      <c r="F1215" s="15" t="n">
        <v>110599.56</v>
      </c>
      <c r="G1215" s="16" t="n">
        <f aca="false">ROUND(E1215+F1215,2)</f>
        <v>287721.98</v>
      </c>
    </row>
    <row r="1216" customFormat="false" ht="15" hidden="false" customHeight="false" outlineLevel="0" collapsed="false">
      <c r="A1216" s="14" t="s">
        <v>28</v>
      </c>
      <c r="B1216" s="14" t="n">
        <v>2024</v>
      </c>
      <c r="C1216" s="14" t="n">
        <v>2</v>
      </c>
      <c r="D1216" s="14" t="s">
        <v>51</v>
      </c>
      <c r="E1216" s="15" t="n">
        <v>166872.68</v>
      </c>
      <c r="F1216" s="15" t="n">
        <v>94360.01</v>
      </c>
      <c r="G1216" s="16" t="n">
        <f aca="false">ROUND(E1216+F1216,2)</f>
        <v>261232.69</v>
      </c>
    </row>
    <row r="1217" customFormat="false" ht="15" hidden="false" customHeight="false" outlineLevel="0" collapsed="false">
      <c r="A1217" s="14" t="s">
        <v>28</v>
      </c>
      <c r="B1217" s="14" t="n">
        <v>2024</v>
      </c>
      <c r="C1217" s="14" t="n">
        <v>3</v>
      </c>
      <c r="D1217" s="14" t="s">
        <v>52</v>
      </c>
      <c r="E1217" s="15" t="n">
        <v>208802.09</v>
      </c>
      <c r="F1217" s="15" t="n">
        <v>112794.34</v>
      </c>
      <c r="G1217" s="16" t="n">
        <f aca="false">ROUND(E1217+F1217,2)</f>
        <v>321596.43</v>
      </c>
    </row>
    <row r="1218" customFormat="false" ht="15" hidden="false" customHeight="false" outlineLevel="0" collapsed="false">
      <c r="A1218" s="14" t="s">
        <v>28</v>
      </c>
      <c r="B1218" s="14" t="n">
        <v>2024</v>
      </c>
      <c r="C1218" s="14" t="n">
        <v>4</v>
      </c>
      <c r="D1218" s="14" t="s">
        <v>53</v>
      </c>
      <c r="E1218" s="15" t="n">
        <v>213279.27</v>
      </c>
      <c r="F1218" s="15" t="n">
        <v>138292.97</v>
      </c>
      <c r="G1218" s="16" t="n">
        <f aca="false">ROUND(E1218+F1218,2)</f>
        <v>351572.24</v>
      </c>
    </row>
    <row r="1219" customFormat="false" ht="15" hidden="false" customHeight="false" outlineLevel="0" collapsed="false">
      <c r="A1219" s="14" t="s">
        <v>28</v>
      </c>
      <c r="B1219" s="14" t="n">
        <v>2024</v>
      </c>
      <c r="C1219" s="14" t="n">
        <v>5</v>
      </c>
      <c r="D1219" s="14" t="s">
        <v>54</v>
      </c>
      <c r="E1219" s="15" t="n">
        <v>202902.46</v>
      </c>
      <c r="F1219" s="15" t="n">
        <v>123986.51</v>
      </c>
      <c r="G1219" s="16" t="n">
        <f aca="false">ROUND(E1219+F1219,2)</f>
        <v>326888.97</v>
      </c>
    </row>
    <row r="1220" customFormat="false" ht="15" hidden="false" customHeight="false" outlineLevel="0" collapsed="false">
      <c r="A1220" s="14" t="s">
        <v>28</v>
      </c>
      <c r="B1220" s="14" t="n">
        <v>2024</v>
      </c>
      <c r="C1220" s="14" t="n">
        <v>6</v>
      </c>
      <c r="D1220" s="14" t="s">
        <v>55</v>
      </c>
      <c r="E1220" s="15" t="n">
        <v>69293.37</v>
      </c>
      <c r="F1220" s="15" t="n">
        <v>56940.22</v>
      </c>
      <c r="G1220" s="16" t="n">
        <f aca="false">ROUND(E1220+F1220,2)</f>
        <v>126233.59</v>
      </c>
    </row>
    <row r="1221" customFormat="false" ht="15" hidden="false" customHeight="false" outlineLevel="0" collapsed="false">
      <c r="A1221" s="14" t="s">
        <v>28</v>
      </c>
      <c r="B1221" s="14" t="n">
        <v>2024</v>
      </c>
      <c r="C1221" s="14" t="n">
        <v>7</v>
      </c>
      <c r="D1221" s="14" t="s">
        <v>56</v>
      </c>
      <c r="E1221" s="15" t="n">
        <v>189383.46</v>
      </c>
      <c r="F1221" s="15" t="n">
        <v>110099.93</v>
      </c>
      <c r="G1221" s="16" t="n">
        <f aca="false">ROUND(E1221+F1221,2)</f>
        <v>299483.39</v>
      </c>
    </row>
    <row r="1222" customFormat="false" ht="15" hidden="false" customHeight="false" outlineLevel="0" collapsed="false">
      <c r="A1222" s="14" t="s">
        <v>28</v>
      </c>
      <c r="B1222" s="14" t="n">
        <v>2024</v>
      </c>
      <c r="C1222" s="14" t="n">
        <v>8</v>
      </c>
      <c r="D1222" s="14" t="s">
        <v>57</v>
      </c>
      <c r="E1222" s="15" t="n">
        <v>237130.05</v>
      </c>
      <c r="F1222" s="15" t="n">
        <v>157260.22</v>
      </c>
      <c r="G1222" s="16" t="n">
        <f aca="false">ROUND(E1222+F1222,2)</f>
        <v>394390.27</v>
      </c>
    </row>
    <row r="1223" customFormat="false" ht="15" hidden="false" customHeight="false" outlineLevel="0" collapsed="false">
      <c r="A1223" s="14" t="s">
        <v>28</v>
      </c>
      <c r="B1223" s="14" t="n">
        <v>2024</v>
      </c>
      <c r="C1223" s="14" t="n">
        <v>9</v>
      </c>
      <c r="D1223" s="14" t="s">
        <v>58</v>
      </c>
      <c r="E1223" s="15" t="n">
        <v>191756.09</v>
      </c>
      <c r="F1223" s="15" t="n">
        <v>126796.56</v>
      </c>
      <c r="G1223" s="16" t="n">
        <f aca="false">ROUND(E1223+F1223,2)</f>
        <v>318552.65</v>
      </c>
    </row>
    <row r="1224" customFormat="false" ht="15" hidden="false" customHeight="false" outlineLevel="0" collapsed="false">
      <c r="A1224" s="14" t="s">
        <v>28</v>
      </c>
      <c r="B1224" s="14" t="n">
        <v>2024</v>
      </c>
      <c r="C1224" s="14" t="n">
        <v>10</v>
      </c>
      <c r="D1224" s="14" t="s">
        <v>59</v>
      </c>
      <c r="E1224" s="15" t="n">
        <v>214683</v>
      </c>
      <c r="F1224" s="15" t="n">
        <v>133735.52</v>
      </c>
      <c r="G1224" s="16" t="n">
        <f aca="false">ROUND(E1224+F1224,2)</f>
        <v>348418.52</v>
      </c>
    </row>
    <row r="1225" customFormat="false" ht="15" hidden="false" customHeight="false" outlineLevel="0" collapsed="false">
      <c r="A1225" s="14" t="s">
        <v>28</v>
      </c>
      <c r="B1225" s="14" t="n">
        <v>2024</v>
      </c>
      <c r="C1225" s="14" t="n">
        <v>11</v>
      </c>
      <c r="D1225" s="14" t="s">
        <v>60</v>
      </c>
      <c r="E1225" s="15" t="n">
        <v>195608.16</v>
      </c>
      <c r="F1225" s="15" t="n">
        <v>122655.02</v>
      </c>
      <c r="G1225" s="16" t="n">
        <f aca="false">ROUND(E1225+F1225,2)</f>
        <v>318263.18</v>
      </c>
    </row>
    <row r="1226" customFormat="false" ht="15" hidden="false" customHeight="false" outlineLevel="0" collapsed="false">
      <c r="A1226" s="14" t="s">
        <v>28</v>
      </c>
      <c r="B1226" s="14" t="n">
        <v>2024</v>
      </c>
      <c r="C1226" s="14" t="n">
        <v>12</v>
      </c>
      <c r="D1226" s="14" t="s">
        <v>61</v>
      </c>
      <c r="E1226" s="15" t="n">
        <v>270004.59</v>
      </c>
      <c r="F1226" s="15" t="n">
        <v>149278.73</v>
      </c>
      <c r="G1226" s="16" t="n">
        <f aca="false">ROUND(E1226+F1226,2)</f>
        <v>419283.32</v>
      </c>
    </row>
    <row r="1227" customFormat="false" ht="15" hidden="false" customHeight="false" outlineLevel="0" collapsed="false">
      <c r="A1227" s="14" t="s">
        <v>28</v>
      </c>
      <c r="B1227" s="14" t="n">
        <v>2025</v>
      </c>
      <c r="C1227" s="14" t="n">
        <v>1</v>
      </c>
      <c r="D1227" s="14" t="s">
        <v>50</v>
      </c>
      <c r="E1227" s="15" t="n">
        <v>254976.05</v>
      </c>
      <c r="F1227" s="15" t="n">
        <v>155960.89</v>
      </c>
      <c r="G1227" s="16" t="n">
        <f aca="false">ROUND(E1227+F1227,2)</f>
        <v>410936.94</v>
      </c>
    </row>
    <row r="1228" customFormat="false" ht="15" hidden="false" customHeight="false" outlineLevel="0" collapsed="false">
      <c r="A1228" s="14" t="s">
        <v>28</v>
      </c>
      <c r="B1228" s="14" t="n">
        <v>2025</v>
      </c>
      <c r="C1228" s="14" t="n">
        <v>2</v>
      </c>
      <c r="D1228" s="14" t="s">
        <v>51</v>
      </c>
      <c r="E1228" s="15" t="n">
        <v>251663.03</v>
      </c>
      <c r="F1228" s="15" t="n">
        <v>167987.79</v>
      </c>
      <c r="G1228" s="16" t="n">
        <f aca="false">ROUND(E1228+F1228,2)</f>
        <v>419650.82</v>
      </c>
    </row>
    <row r="1229" customFormat="false" ht="15" hidden="false" customHeight="false" outlineLevel="0" collapsed="false">
      <c r="A1229" s="14" t="s">
        <v>28</v>
      </c>
      <c r="B1229" s="14" t="n">
        <v>2025</v>
      </c>
      <c r="C1229" s="14" t="n">
        <v>3</v>
      </c>
      <c r="D1229" s="14" t="s">
        <v>52</v>
      </c>
      <c r="E1229" s="15" t="n">
        <v>253054.03</v>
      </c>
      <c r="F1229" s="15" t="n">
        <v>121094.55</v>
      </c>
      <c r="G1229" s="16" t="n">
        <f aca="false">ROUND(E1229+F1229,2)</f>
        <v>374148.58</v>
      </c>
    </row>
    <row r="1230" customFormat="false" ht="15" hidden="false" customHeight="false" outlineLevel="0" collapsed="false">
      <c r="A1230" s="14" t="s">
        <v>28</v>
      </c>
      <c r="B1230" s="14" t="n">
        <v>2025</v>
      </c>
      <c r="C1230" s="14" t="n">
        <v>4</v>
      </c>
      <c r="D1230" s="14" t="s">
        <v>53</v>
      </c>
      <c r="E1230" s="15" t="n">
        <v>233052.01</v>
      </c>
      <c r="F1230" s="15" t="n">
        <v>126662.27</v>
      </c>
      <c r="G1230" s="16" t="n">
        <f aca="false">ROUND(E1230+F1230,2)</f>
        <v>359714.28</v>
      </c>
    </row>
    <row r="1231" customFormat="false" ht="15" hidden="false" customHeight="false" outlineLevel="0" collapsed="false">
      <c r="A1231" s="14" t="s">
        <v>28</v>
      </c>
      <c r="B1231" s="14" t="n">
        <v>2025</v>
      </c>
      <c r="C1231" s="14" t="n">
        <v>5</v>
      </c>
      <c r="D1231" s="14" t="s">
        <v>54</v>
      </c>
      <c r="E1231" s="15" t="n">
        <v>230828.5</v>
      </c>
      <c r="F1231" s="15" t="n">
        <v>113868.13</v>
      </c>
      <c r="G1231" s="16" t="n">
        <f aca="false">ROUND(E1231+F1231,2)</f>
        <v>344696.63</v>
      </c>
    </row>
    <row r="1232" customFormat="false" ht="15" hidden="false" customHeight="false" outlineLevel="0" collapsed="false">
      <c r="A1232" s="14" t="s">
        <v>28</v>
      </c>
      <c r="B1232" s="14" t="n">
        <v>2025</v>
      </c>
      <c r="C1232" s="14" t="n">
        <v>6</v>
      </c>
      <c r="D1232" s="14" t="s">
        <v>55</v>
      </c>
      <c r="E1232" s="15" t="n">
        <v>223103.05</v>
      </c>
      <c r="F1232" s="15" t="n">
        <v>142693.81</v>
      </c>
      <c r="G1232" s="16" t="n">
        <f aca="false">ROUND(E1232+F1232,2)</f>
        <v>365796.86</v>
      </c>
    </row>
    <row r="1233" customFormat="false" ht="15" hidden="false" customHeight="false" outlineLevel="0" collapsed="false">
      <c r="A1233" s="14" t="s">
        <v>28</v>
      </c>
      <c r="B1233" s="14" t="n">
        <v>2025</v>
      </c>
      <c r="C1233" s="14" t="n">
        <v>7</v>
      </c>
      <c r="D1233" s="14" t="s">
        <v>56</v>
      </c>
      <c r="E1233" s="15" t="n">
        <v>213709.2</v>
      </c>
      <c r="F1233" s="15" t="n">
        <v>135737.98</v>
      </c>
      <c r="G1233" s="16" t="n">
        <f aca="false">ROUND(E1233+F1233,2)</f>
        <v>349447.18</v>
      </c>
    </row>
    <row r="1234" customFormat="false" ht="15" hidden="false" customHeight="false" outlineLevel="0" collapsed="false">
      <c r="A1234" s="14" t="s">
        <v>28</v>
      </c>
      <c r="B1234" s="14" t="n">
        <v>2025</v>
      </c>
      <c r="C1234" s="14" t="n">
        <v>8</v>
      </c>
      <c r="D1234" s="14" t="s">
        <v>57</v>
      </c>
      <c r="E1234" s="15" t="n">
        <v>216053.1</v>
      </c>
      <c r="F1234" s="15" t="n">
        <v>128228</v>
      </c>
      <c r="G1234" s="16" t="n">
        <f aca="false">ROUND(E1234+F1234,2)</f>
        <v>344281.1</v>
      </c>
    </row>
    <row r="1235" customFormat="false" ht="15" hidden="false" customHeight="false" outlineLevel="0" collapsed="false">
      <c r="A1235" s="14" t="s">
        <v>28</v>
      </c>
      <c r="B1235" s="14" t="n">
        <v>2025</v>
      </c>
      <c r="C1235" s="14" t="n">
        <v>9</v>
      </c>
      <c r="D1235" s="14" t="s">
        <v>58</v>
      </c>
      <c r="E1235" s="15" t="n">
        <v>196173.91</v>
      </c>
      <c r="F1235" s="15" t="n">
        <v>156179.88</v>
      </c>
      <c r="G1235" s="16" t="n">
        <f aca="false">ROUND(E1235+F1235,2)</f>
        <v>352353.79</v>
      </c>
    </row>
    <row r="1236" customFormat="false" ht="15" hidden="false" customHeight="false" outlineLevel="0" collapsed="false">
      <c r="A1236" s="14" t="s">
        <v>28</v>
      </c>
      <c r="B1236" s="14" t="n">
        <v>2025</v>
      </c>
      <c r="C1236" s="14" t="n">
        <v>10</v>
      </c>
      <c r="D1236" s="14" t="s">
        <v>59</v>
      </c>
      <c r="E1236" s="15" t="n">
        <v>233802.97</v>
      </c>
      <c r="F1236" s="15" t="n">
        <v>132135.84</v>
      </c>
      <c r="G1236" s="16" t="n">
        <f aca="false">ROUND(E1236+F1236,2)</f>
        <v>365938.81</v>
      </c>
    </row>
    <row r="1237" customFormat="false" ht="15" hidden="false" customHeight="false" outlineLevel="0" collapsed="false">
      <c r="A1237" s="14" t="s">
        <v>28</v>
      </c>
      <c r="B1237" s="14" t="n">
        <v>2025</v>
      </c>
      <c r="C1237" s="14" t="n">
        <v>11</v>
      </c>
      <c r="D1237" s="14" t="s">
        <v>60</v>
      </c>
      <c r="E1237" s="15" t="n">
        <v>207897.2</v>
      </c>
      <c r="F1237" s="15" t="n">
        <v>114033.03</v>
      </c>
      <c r="G1237" s="16" t="n">
        <f aca="false">ROUND(E1237+F1237,2)</f>
        <v>321930.23</v>
      </c>
    </row>
    <row r="1238" customFormat="false" ht="15" hidden="false" customHeight="false" outlineLevel="0" collapsed="false">
      <c r="A1238" s="14" t="s">
        <v>28</v>
      </c>
      <c r="B1238" s="14" t="n">
        <v>2025</v>
      </c>
      <c r="C1238" s="14" t="n">
        <v>12</v>
      </c>
      <c r="D1238" s="14" t="s">
        <v>61</v>
      </c>
      <c r="E1238" s="15" t="n">
        <v>192636.61</v>
      </c>
      <c r="F1238" s="15" t="n">
        <v>130098.35</v>
      </c>
      <c r="G1238" s="16" t="n">
        <f aca="false">ROUND(E1238+F1238,2)</f>
        <v>322734.96</v>
      </c>
    </row>
    <row r="1239" customFormat="false" ht="15" hidden="false" customHeight="false" outlineLevel="0" collapsed="false">
      <c r="A1239" s="14" t="s">
        <v>28</v>
      </c>
      <c r="B1239" s="14" t="n">
        <v>2026</v>
      </c>
      <c r="C1239" s="14" t="n">
        <v>1</v>
      </c>
      <c r="D1239" s="14" t="s">
        <v>50</v>
      </c>
      <c r="E1239" s="15" t="n">
        <v>199927.32</v>
      </c>
      <c r="F1239" s="15" t="n">
        <v>119974.73</v>
      </c>
      <c r="G1239" s="16" t="n">
        <f aca="false">ROUND(E1239+F1239,2)</f>
        <v>319902.05</v>
      </c>
    </row>
    <row r="1240" customFormat="false" ht="15" hidden="false" customHeight="false" outlineLevel="0" collapsed="false">
      <c r="A1240" s="14" t="s">
        <v>28</v>
      </c>
      <c r="B1240" s="14" t="n">
        <v>2026</v>
      </c>
      <c r="C1240" s="14" t="n">
        <v>2</v>
      </c>
      <c r="D1240" s="14" t="s">
        <v>51</v>
      </c>
      <c r="E1240" s="15" t="n">
        <v>200794.5</v>
      </c>
      <c r="F1240" s="15" t="n">
        <v>131924.88</v>
      </c>
      <c r="G1240" s="16" t="n">
        <f aca="false">ROUND(E1240+F1240,2)</f>
        <v>332719.38</v>
      </c>
    </row>
    <row r="1241" customFormat="false" ht="15" hidden="false" customHeight="false" outlineLevel="0" collapsed="false">
      <c r="A1241" s="14" t="s">
        <v>28</v>
      </c>
      <c r="B1241" s="14" t="n">
        <v>2026</v>
      </c>
      <c r="C1241" s="14" t="n">
        <v>3</v>
      </c>
      <c r="D1241" s="14" t="s">
        <v>52</v>
      </c>
      <c r="E1241" s="15" t="n">
        <v>217262.32</v>
      </c>
      <c r="F1241" s="15" t="n">
        <v>127111.48</v>
      </c>
      <c r="G1241" s="16" t="n">
        <f aca="false">ROUND(E1241+F1241,2)</f>
        <v>344373.8</v>
      </c>
    </row>
    <row r="1242" customFormat="false" ht="15" hidden="false" customHeight="false" outlineLevel="0" collapsed="false">
      <c r="A1242" s="14" t="s">
        <v>28</v>
      </c>
      <c r="B1242" s="14" t="n">
        <v>2026</v>
      </c>
      <c r="C1242" s="14" t="n">
        <v>4</v>
      </c>
      <c r="D1242" s="14" t="s">
        <v>53</v>
      </c>
      <c r="E1242" s="15" t="n">
        <v>260817.67</v>
      </c>
      <c r="F1242" s="15" t="n">
        <v>151020.53</v>
      </c>
      <c r="G1242" s="16" t="n">
        <f aca="false">ROUND(E1242+F1242,2)</f>
        <v>411838.2</v>
      </c>
    </row>
    <row r="1243" customFormat="false" ht="15" hidden="false" customHeight="false" outlineLevel="0" collapsed="false">
      <c r="A1243" s="14" t="s">
        <v>28</v>
      </c>
      <c r="B1243" s="14" t="n">
        <v>2026</v>
      </c>
      <c r="C1243" s="14" t="n">
        <v>5</v>
      </c>
      <c r="D1243" s="14" t="s">
        <v>54</v>
      </c>
      <c r="E1243" s="15" t="n">
        <v>226404.32</v>
      </c>
      <c r="F1243" s="15" t="n">
        <v>132911.62</v>
      </c>
      <c r="G1243" s="16" t="n">
        <f aca="false">ROUND(E1243+F1243,2)</f>
        <v>359315.94</v>
      </c>
    </row>
    <row r="1244" customFormat="false" ht="15" hidden="false" customHeight="false" outlineLevel="0" collapsed="false">
      <c r="A1244" s="14" t="s">
        <v>28</v>
      </c>
      <c r="B1244" s="14" t="n">
        <v>2026</v>
      </c>
      <c r="C1244" s="14" t="n">
        <v>6</v>
      </c>
      <c r="D1244" s="14" t="s">
        <v>55</v>
      </c>
      <c r="E1244" s="15" t="n">
        <v>217622.84</v>
      </c>
      <c r="F1244" s="15" t="n">
        <v>143184.71</v>
      </c>
      <c r="G1244" s="16" t="n">
        <f aca="false">ROUND(E1244+F1244,2)</f>
        <v>360807.55</v>
      </c>
    </row>
    <row r="1245" customFormat="false" ht="15" hidden="false" customHeight="false" outlineLevel="0" collapsed="false">
      <c r="A1245" s="14" t="s">
        <v>28</v>
      </c>
      <c r="B1245" s="14" t="n">
        <v>2026</v>
      </c>
      <c r="C1245" s="14" t="n">
        <v>7</v>
      </c>
      <c r="D1245" s="14" t="s">
        <v>56</v>
      </c>
      <c r="E1245" s="15" t="n">
        <v>260714.22</v>
      </c>
      <c r="F1245" s="15" t="n">
        <v>173232.36</v>
      </c>
      <c r="G1245" s="16" t="n">
        <f aca="false">ROUND(E1245+F1245,2)</f>
        <v>433946.58</v>
      </c>
    </row>
    <row r="1246" customFormat="false" ht="15" hidden="false" customHeight="false" outlineLevel="0" collapsed="false">
      <c r="A1246" s="14" t="s">
        <v>17</v>
      </c>
      <c r="B1246" s="14" t="n">
        <v>2021</v>
      </c>
      <c r="C1246" s="14" t="n">
        <v>1</v>
      </c>
      <c r="D1246" s="14" t="s">
        <v>50</v>
      </c>
      <c r="E1246" s="15" t="n">
        <v>340686.8</v>
      </c>
      <c r="F1246" s="15" t="n">
        <v>204534.84</v>
      </c>
      <c r="G1246" s="16" t="n">
        <f aca="false">ROUND(E1246+F1246,2)</f>
        <v>545221.64</v>
      </c>
    </row>
    <row r="1247" customFormat="false" ht="15" hidden="false" customHeight="false" outlineLevel="0" collapsed="false">
      <c r="A1247" s="14" t="s">
        <v>17</v>
      </c>
      <c r="B1247" s="14" t="n">
        <v>2021</v>
      </c>
      <c r="C1247" s="14" t="n">
        <v>2</v>
      </c>
      <c r="D1247" s="14" t="s">
        <v>51</v>
      </c>
      <c r="E1247" s="15" t="n">
        <v>392055.06</v>
      </c>
      <c r="F1247" s="15" t="n">
        <v>253954.45</v>
      </c>
      <c r="G1247" s="16" t="n">
        <f aca="false">ROUND(E1247+F1247,2)</f>
        <v>646009.51</v>
      </c>
    </row>
    <row r="1248" customFormat="false" ht="15" hidden="false" customHeight="false" outlineLevel="0" collapsed="false">
      <c r="A1248" s="14" t="s">
        <v>17</v>
      </c>
      <c r="B1248" s="14" t="n">
        <v>2021</v>
      </c>
      <c r="C1248" s="14" t="n">
        <v>3</v>
      </c>
      <c r="D1248" s="14" t="s">
        <v>52</v>
      </c>
      <c r="E1248" s="15" t="n">
        <v>413972.66</v>
      </c>
      <c r="F1248" s="15" t="n">
        <v>299810.85</v>
      </c>
      <c r="G1248" s="16" t="n">
        <f aca="false">ROUND(E1248+F1248,2)</f>
        <v>713783.51</v>
      </c>
    </row>
    <row r="1249" customFormat="false" ht="15" hidden="false" customHeight="false" outlineLevel="0" collapsed="false">
      <c r="A1249" s="14" t="s">
        <v>17</v>
      </c>
      <c r="B1249" s="14" t="n">
        <v>2021</v>
      </c>
      <c r="C1249" s="14" t="n">
        <v>4</v>
      </c>
      <c r="D1249" s="14" t="s">
        <v>53</v>
      </c>
      <c r="E1249" s="15" t="n">
        <v>365238.97</v>
      </c>
      <c r="F1249" s="15" t="n">
        <v>310991.08</v>
      </c>
      <c r="G1249" s="16" t="n">
        <f aca="false">ROUND(E1249+F1249,2)</f>
        <v>676230.05</v>
      </c>
    </row>
    <row r="1250" customFormat="false" ht="15" hidden="false" customHeight="false" outlineLevel="0" collapsed="false">
      <c r="A1250" s="14" t="s">
        <v>17</v>
      </c>
      <c r="B1250" s="14" t="n">
        <v>2021</v>
      </c>
      <c r="C1250" s="14" t="n">
        <v>5</v>
      </c>
      <c r="D1250" s="14" t="s">
        <v>54</v>
      </c>
      <c r="E1250" s="15" t="n">
        <v>337512.75</v>
      </c>
      <c r="F1250" s="15" t="n">
        <v>240602.11</v>
      </c>
      <c r="G1250" s="16" t="n">
        <f aca="false">ROUND(E1250+F1250,2)</f>
        <v>578114.86</v>
      </c>
    </row>
    <row r="1251" customFormat="false" ht="15" hidden="false" customHeight="false" outlineLevel="0" collapsed="false">
      <c r="A1251" s="14" t="s">
        <v>17</v>
      </c>
      <c r="B1251" s="14" t="n">
        <v>2021</v>
      </c>
      <c r="C1251" s="14" t="n">
        <v>6</v>
      </c>
      <c r="D1251" s="14" t="s">
        <v>55</v>
      </c>
      <c r="E1251" s="15" t="n">
        <v>377258.81</v>
      </c>
      <c r="F1251" s="15" t="n">
        <v>268471.32</v>
      </c>
      <c r="G1251" s="16" t="n">
        <f aca="false">ROUND(E1251+F1251,2)</f>
        <v>645730.13</v>
      </c>
    </row>
    <row r="1252" customFormat="false" ht="15" hidden="false" customHeight="false" outlineLevel="0" collapsed="false">
      <c r="A1252" s="14" t="s">
        <v>17</v>
      </c>
      <c r="B1252" s="14" t="n">
        <v>2021</v>
      </c>
      <c r="C1252" s="14" t="n">
        <v>7</v>
      </c>
      <c r="D1252" s="14" t="s">
        <v>56</v>
      </c>
      <c r="E1252" s="15" t="n">
        <v>354130.85</v>
      </c>
      <c r="F1252" s="15" t="n">
        <v>257983.71</v>
      </c>
      <c r="G1252" s="16" t="n">
        <f aca="false">ROUND(E1252+F1252,2)</f>
        <v>612114.56</v>
      </c>
    </row>
    <row r="1253" customFormat="false" ht="15" hidden="false" customHeight="false" outlineLevel="0" collapsed="false">
      <c r="A1253" s="14" t="s">
        <v>17</v>
      </c>
      <c r="B1253" s="14" t="n">
        <v>2021</v>
      </c>
      <c r="C1253" s="14" t="n">
        <v>8</v>
      </c>
      <c r="D1253" s="14" t="s">
        <v>57</v>
      </c>
      <c r="E1253" s="15" t="n">
        <v>383881.32</v>
      </c>
      <c r="F1253" s="15" t="n">
        <v>287381.14</v>
      </c>
      <c r="G1253" s="16" t="n">
        <f aca="false">ROUND(E1253+F1253,2)</f>
        <v>671262.46</v>
      </c>
    </row>
    <row r="1254" customFormat="false" ht="15" hidden="false" customHeight="false" outlineLevel="0" collapsed="false">
      <c r="A1254" s="14" t="s">
        <v>17</v>
      </c>
      <c r="B1254" s="14" t="n">
        <v>2021</v>
      </c>
      <c r="C1254" s="14" t="n">
        <v>9</v>
      </c>
      <c r="D1254" s="14" t="s">
        <v>58</v>
      </c>
      <c r="E1254" s="15" t="n">
        <v>374218.66</v>
      </c>
      <c r="F1254" s="15" t="n">
        <v>278264.82</v>
      </c>
      <c r="G1254" s="16" t="n">
        <f aca="false">ROUND(E1254+F1254,2)</f>
        <v>652483.48</v>
      </c>
    </row>
    <row r="1255" customFormat="false" ht="15" hidden="false" customHeight="false" outlineLevel="0" collapsed="false">
      <c r="A1255" s="14" t="s">
        <v>17</v>
      </c>
      <c r="B1255" s="14" t="n">
        <v>2021</v>
      </c>
      <c r="C1255" s="14" t="n">
        <v>10</v>
      </c>
      <c r="D1255" s="14" t="s">
        <v>59</v>
      </c>
      <c r="E1255" s="15" t="n">
        <v>339719.49</v>
      </c>
      <c r="F1255" s="15" t="n">
        <v>252034.35</v>
      </c>
      <c r="G1255" s="16" t="n">
        <f aca="false">ROUND(E1255+F1255,2)</f>
        <v>591753.84</v>
      </c>
    </row>
    <row r="1256" customFormat="false" ht="15" hidden="false" customHeight="false" outlineLevel="0" collapsed="false">
      <c r="A1256" s="14" t="s">
        <v>17</v>
      </c>
      <c r="B1256" s="14" t="n">
        <v>2021</v>
      </c>
      <c r="C1256" s="14" t="n">
        <v>11</v>
      </c>
      <c r="D1256" s="14" t="s">
        <v>60</v>
      </c>
      <c r="E1256" s="15" t="n">
        <v>322372.17</v>
      </c>
      <c r="F1256" s="15" t="n">
        <v>233994.41</v>
      </c>
      <c r="G1256" s="16" t="n">
        <f aca="false">ROUND(E1256+F1256,2)</f>
        <v>556366.58</v>
      </c>
    </row>
    <row r="1257" customFormat="false" ht="15" hidden="false" customHeight="false" outlineLevel="0" collapsed="false">
      <c r="A1257" s="14" t="s">
        <v>17</v>
      </c>
      <c r="B1257" s="14" t="n">
        <v>2021</v>
      </c>
      <c r="C1257" s="14" t="n">
        <v>12</v>
      </c>
      <c r="D1257" s="14" t="s">
        <v>61</v>
      </c>
      <c r="E1257" s="15" t="n">
        <v>395327.69</v>
      </c>
      <c r="F1257" s="15" t="n">
        <v>272678.03</v>
      </c>
      <c r="G1257" s="16" t="n">
        <f aca="false">ROUND(E1257+F1257,2)</f>
        <v>668005.72</v>
      </c>
    </row>
    <row r="1258" customFormat="false" ht="15" hidden="false" customHeight="false" outlineLevel="0" collapsed="false">
      <c r="A1258" s="14" t="s">
        <v>17</v>
      </c>
      <c r="B1258" s="14" t="n">
        <v>2022</v>
      </c>
      <c r="C1258" s="14" t="n">
        <v>1</v>
      </c>
      <c r="D1258" s="14" t="s">
        <v>50</v>
      </c>
      <c r="E1258" s="15" t="n">
        <v>363721.34</v>
      </c>
      <c r="F1258" s="15" t="n">
        <v>229840.77</v>
      </c>
      <c r="G1258" s="16" t="n">
        <f aca="false">ROUND(E1258+F1258,2)</f>
        <v>593562.11</v>
      </c>
    </row>
    <row r="1259" customFormat="false" ht="15" hidden="false" customHeight="false" outlineLevel="0" collapsed="false">
      <c r="A1259" s="14" t="s">
        <v>17</v>
      </c>
      <c r="B1259" s="14" t="n">
        <v>2022</v>
      </c>
      <c r="C1259" s="14" t="n">
        <v>2</v>
      </c>
      <c r="D1259" s="14" t="s">
        <v>51</v>
      </c>
      <c r="E1259" s="15" t="n">
        <v>302901.45</v>
      </c>
      <c r="F1259" s="15" t="n">
        <v>227120.19</v>
      </c>
      <c r="G1259" s="16" t="n">
        <f aca="false">ROUND(E1259+F1259,2)</f>
        <v>530021.64</v>
      </c>
    </row>
    <row r="1260" customFormat="false" ht="15" hidden="false" customHeight="false" outlineLevel="0" collapsed="false">
      <c r="A1260" s="14" t="s">
        <v>17</v>
      </c>
      <c r="B1260" s="14" t="n">
        <v>2022</v>
      </c>
      <c r="C1260" s="14" t="n">
        <v>3</v>
      </c>
      <c r="D1260" s="14" t="s">
        <v>52</v>
      </c>
      <c r="E1260" s="15" t="n">
        <v>375009.43</v>
      </c>
      <c r="F1260" s="15" t="n">
        <v>273113.5</v>
      </c>
      <c r="G1260" s="16" t="n">
        <f aca="false">ROUND(E1260+F1260,2)</f>
        <v>648122.93</v>
      </c>
    </row>
    <row r="1261" customFormat="false" ht="15" hidden="false" customHeight="false" outlineLevel="0" collapsed="false">
      <c r="A1261" s="14" t="s">
        <v>17</v>
      </c>
      <c r="B1261" s="14" t="n">
        <v>2022</v>
      </c>
      <c r="C1261" s="14" t="n">
        <v>4</v>
      </c>
      <c r="D1261" s="14" t="s">
        <v>53</v>
      </c>
      <c r="E1261" s="15" t="n">
        <v>343469.53</v>
      </c>
      <c r="F1261" s="15" t="n">
        <v>262431.53</v>
      </c>
      <c r="G1261" s="16" t="n">
        <f aca="false">ROUND(E1261+F1261,2)</f>
        <v>605901.06</v>
      </c>
    </row>
    <row r="1262" customFormat="false" ht="15" hidden="false" customHeight="false" outlineLevel="0" collapsed="false">
      <c r="A1262" s="14" t="s">
        <v>17</v>
      </c>
      <c r="B1262" s="14" t="n">
        <v>2022</v>
      </c>
      <c r="C1262" s="14" t="n">
        <v>5</v>
      </c>
      <c r="D1262" s="14" t="s">
        <v>54</v>
      </c>
      <c r="E1262" s="15" t="n">
        <v>346186.43</v>
      </c>
      <c r="F1262" s="15" t="n">
        <v>258706.58</v>
      </c>
      <c r="G1262" s="16" t="n">
        <f aca="false">ROUND(E1262+F1262,2)</f>
        <v>604893.01</v>
      </c>
    </row>
    <row r="1263" customFormat="false" ht="15" hidden="false" customHeight="false" outlineLevel="0" collapsed="false">
      <c r="A1263" s="14" t="s">
        <v>17</v>
      </c>
      <c r="B1263" s="14" t="n">
        <v>2022</v>
      </c>
      <c r="C1263" s="14" t="n">
        <v>6</v>
      </c>
      <c r="D1263" s="14" t="s">
        <v>55</v>
      </c>
      <c r="E1263" s="15" t="n">
        <v>377933.79</v>
      </c>
      <c r="F1263" s="15" t="n">
        <v>294873.48</v>
      </c>
      <c r="G1263" s="16" t="n">
        <f aca="false">ROUND(E1263+F1263,2)</f>
        <v>672807.27</v>
      </c>
    </row>
    <row r="1264" customFormat="false" ht="15" hidden="false" customHeight="false" outlineLevel="0" collapsed="false">
      <c r="A1264" s="14" t="s">
        <v>17</v>
      </c>
      <c r="B1264" s="14" t="n">
        <v>2022</v>
      </c>
      <c r="C1264" s="14" t="n">
        <v>7</v>
      </c>
      <c r="D1264" s="14" t="s">
        <v>56</v>
      </c>
      <c r="E1264" s="15" t="n">
        <v>347409.99</v>
      </c>
      <c r="F1264" s="15" t="n">
        <v>287253.19</v>
      </c>
      <c r="G1264" s="16" t="n">
        <f aca="false">ROUND(E1264+F1264,2)</f>
        <v>634663.18</v>
      </c>
    </row>
    <row r="1265" customFormat="false" ht="15" hidden="false" customHeight="false" outlineLevel="0" collapsed="false">
      <c r="A1265" s="14" t="s">
        <v>17</v>
      </c>
      <c r="B1265" s="14" t="n">
        <v>2022</v>
      </c>
      <c r="C1265" s="14" t="n">
        <v>8</v>
      </c>
      <c r="D1265" s="14" t="s">
        <v>57</v>
      </c>
      <c r="E1265" s="15" t="n">
        <v>392250.09</v>
      </c>
      <c r="F1265" s="15" t="n">
        <v>305566.51</v>
      </c>
      <c r="G1265" s="16" t="n">
        <f aca="false">ROUND(E1265+F1265,2)</f>
        <v>697816.6</v>
      </c>
    </row>
    <row r="1266" customFormat="false" ht="15" hidden="false" customHeight="false" outlineLevel="0" collapsed="false">
      <c r="A1266" s="14" t="s">
        <v>17</v>
      </c>
      <c r="B1266" s="14" t="n">
        <v>2022</v>
      </c>
      <c r="C1266" s="14" t="n">
        <v>9</v>
      </c>
      <c r="D1266" s="14" t="s">
        <v>58</v>
      </c>
      <c r="E1266" s="15" t="n">
        <v>391110.09</v>
      </c>
      <c r="F1266" s="15" t="n">
        <v>293859.56</v>
      </c>
      <c r="G1266" s="16" t="n">
        <f aca="false">ROUND(E1266+F1266,2)</f>
        <v>684969.65</v>
      </c>
    </row>
    <row r="1267" customFormat="false" ht="15" hidden="false" customHeight="false" outlineLevel="0" collapsed="false">
      <c r="A1267" s="14" t="s">
        <v>17</v>
      </c>
      <c r="B1267" s="14" t="n">
        <v>2022</v>
      </c>
      <c r="C1267" s="14" t="n">
        <v>10</v>
      </c>
      <c r="D1267" s="14" t="s">
        <v>59</v>
      </c>
      <c r="E1267" s="15" t="n">
        <v>377361.64</v>
      </c>
      <c r="F1267" s="15" t="n">
        <v>311280.91</v>
      </c>
      <c r="G1267" s="16" t="n">
        <f aca="false">ROUND(E1267+F1267,2)</f>
        <v>688642.55</v>
      </c>
    </row>
    <row r="1268" customFormat="false" ht="15" hidden="false" customHeight="false" outlineLevel="0" collapsed="false">
      <c r="A1268" s="14" t="s">
        <v>17</v>
      </c>
      <c r="B1268" s="14" t="n">
        <v>2022</v>
      </c>
      <c r="C1268" s="14" t="n">
        <v>11</v>
      </c>
      <c r="D1268" s="14" t="s">
        <v>60</v>
      </c>
      <c r="E1268" s="15" t="n">
        <v>346915.77</v>
      </c>
      <c r="F1268" s="15" t="n">
        <v>241451.2</v>
      </c>
      <c r="G1268" s="16" t="n">
        <f aca="false">ROUND(E1268+F1268,2)</f>
        <v>588366.97</v>
      </c>
    </row>
    <row r="1269" customFormat="false" ht="15" hidden="false" customHeight="false" outlineLevel="0" collapsed="false">
      <c r="A1269" s="14" t="s">
        <v>17</v>
      </c>
      <c r="B1269" s="14" t="n">
        <v>2022</v>
      </c>
      <c r="C1269" s="14" t="n">
        <v>12</v>
      </c>
      <c r="D1269" s="14" t="s">
        <v>61</v>
      </c>
      <c r="E1269" s="15" t="n">
        <v>420612.04</v>
      </c>
      <c r="F1269" s="15" t="n">
        <v>273406.91</v>
      </c>
      <c r="G1269" s="16" t="n">
        <f aca="false">ROUND(E1269+F1269,2)</f>
        <v>694018.95</v>
      </c>
    </row>
    <row r="1270" customFormat="false" ht="15" hidden="false" customHeight="false" outlineLevel="0" collapsed="false">
      <c r="A1270" s="14" t="s">
        <v>17</v>
      </c>
      <c r="B1270" s="14" t="n">
        <v>2023</v>
      </c>
      <c r="C1270" s="14" t="n">
        <v>1</v>
      </c>
      <c r="D1270" s="14" t="s">
        <v>50</v>
      </c>
      <c r="E1270" s="15" t="n">
        <v>441333.33</v>
      </c>
      <c r="F1270" s="15" t="n">
        <v>272003.49</v>
      </c>
      <c r="G1270" s="16" t="n">
        <f aca="false">ROUND(E1270+F1270,2)</f>
        <v>713336.82</v>
      </c>
    </row>
    <row r="1271" customFormat="false" ht="15" hidden="false" customHeight="false" outlineLevel="0" collapsed="false">
      <c r="A1271" s="14" t="s">
        <v>17</v>
      </c>
      <c r="B1271" s="14" t="n">
        <v>2023</v>
      </c>
      <c r="C1271" s="14" t="n">
        <v>2</v>
      </c>
      <c r="D1271" s="14" t="s">
        <v>51</v>
      </c>
      <c r="E1271" s="15" t="n">
        <v>333710.95</v>
      </c>
      <c r="F1271" s="15" t="n">
        <v>256648.5</v>
      </c>
      <c r="G1271" s="16" t="n">
        <f aca="false">ROUND(E1271+F1271,2)</f>
        <v>590359.45</v>
      </c>
    </row>
    <row r="1272" customFormat="false" ht="15" hidden="false" customHeight="false" outlineLevel="0" collapsed="false">
      <c r="A1272" s="14" t="s">
        <v>17</v>
      </c>
      <c r="B1272" s="14" t="n">
        <v>2023</v>
      </c>
      <c r="C1272" s="14" t="n">
        <v>3</v>
      </c>
      <c r="D1272" s="14" t="s">
        <v>52</v>
      </c>
      <c r="E1272" s="15" t="n">
        <v>464546.84</v>
      </c>
      <c r="F1272" s="15" t="n">
        <v>287679.5</v>
      </c>
      <c r="G1272" s="16" t="n">
        <f aca="false">ROUND(E1272+F1272,2)</f>
        <v>752226.34</v>
      </c>
    </row>
    <row r="1273" customFormat="false" ht="15" hidden="false" customHeight="false" outlineLevel="0" collapsed="false">
      <c r="A1273" s="14" t="s">
        <v>17</v>
      </c>
      <c r="B1273" s="14" t="n">
        <v>2023</v>
      </c>
      <c r="C1273" s="14" t="n">
        <v>4</v>
      </c>
      <c r="D1273" s="14" t="s">
        <v>53</v>
      </c>
      <c r="E1273" s="15" t="n">
        <v>393679.34</v>
      </c>
      <c r="F1273" s="15" t="n">
        <v>296917.6</v>
      </c>
      <c r="G1273" s="16" t="n">
        <f aca="false">ROUND(E1273+F1273,2)</f>
        <v>690596.94</v>
      </c>
    </row>
    <row r="1274" customFormat="false" ht="15" hidden="false" customHeight="false" outlineLevel="0" collapsed="false">
      <c r="A1274" s="14" t="s">
        <v>17</v>
      </c>
      <c r="B1274" s="14" t="n">
        <v>2023</v>
      </c>
      <c r="C1274" s="14" t="n">
        <v>5</v>
      </c>
      <c r="D1274" s="14" t="s">
        <v>54</v>
      </c>
      <c r="E1274" s="15" t="n">
        <v>414792.87</v>
      </c>
      <c r="F1274" s="15" t="n">
        <v>301974.58</v>
      </c>
      <c r="G1274" s="16" t="n">
        <f aca="false">ROUND(E1274+F1274,2)</f>
        <v>716767.45</v>
      </c>
    </row>
    <row r="1275" customFormat="false" ht="15" hidden="false" customHeight="false" outlineLevel="0" collapsed="false">
      <c r="A1275" s="14" t="s">
        <v>17</v>
      </c>
      <c r="B1275" s="14" t="n">
        <v>2023</v>
      </c>
      <c r="C1275" s="14" t="n">
        <v>6</v>
      </c>
      <c r="D1275" s="14" t="s">
        <v>55</v>
      </c>
      <c r="E1275" s="15" t="n">
        <v>366086.28</v>
      </c>
      <c r="F1275" s="15" t="n">
        <v>303551.46</v>
      </c>
      <c r="G1275" s="16" t="n">
        <f aca="false">ROUND(E1275+F1275,2)</f>
        <v>669637.74</v>
      </c>
    </row>
    <row r="1276" customFormat="false" ht="15" hidden="false" customHeight="false" outlineLevel="0" collapsed="false">
      <c r="A1276" s="14" t="s">
        <v>17</v>
      </c>
      <c r="B1276" s="14" t="n">
        <v>2023</v>
      </c>
      <c r="C1276" s="14" t="n">
        <v>7</v>
      </c>
      <c r="D1276" s="14" t="s">
        <v>56</v>
      </c>
      <c r="E1276" s="15" t="n">
        <v>365786.23</v>
      </c>
      <c r="F1276" s="15" t="n">
        <v>280001.44</v>
      </c>
      <c r="G1276" s="16" t="n">
        <f aca="false">ROUND(E1276+F1276,2)</f>
        <v>645787.67</v>
      </c>
    </row>
    <row r="1277" customFormat="false" ht="15" hidden="false" customHeight="false" outlineLevel="0" collapsed="false">
      <c r="A1277" s="14" t="s">
        <v>17</v>
      </c>
      <c r="B1277" s="14" t="n">
        <v>2023</v>
      </c>
      <c r="C1277" s="14" t="n">
        <v>8</v>
      </c>
      <c r="D1277" s="14" t="s">
        <v>57</v>
      </c>
      <c r="E1277" s="15" t="n">
        <v>388650.42</v>
      </c>
      <c r="F1277" s="15" t="n">
        <v>310175.72</v>
      </c>
      <c r="G1277" s="16" t="n">
        <f aca="false">ROUND(E1277+F1277,2)</f>
        <v>698826.14</v>
      </c>
    </row>
    <row r="1278" customFormat="false" ht="15" hidden="false" customHeight="false" outlineLevel="0" collapsed="false">
      <c r="A1278" s="14" t="s">
        <v>17</v>
      </c>
      <c r="B1278" s="14" t="n">
        <v>2023</v>
      </c>
      <c r="C1278" s="14" t="n">
        <v>9</v>
      </c>
      <c r="D1278" s="14" t="s">
        <v>58</v>
      </c>
      <c r="E1278" s="15" t="n">
        <v>350696.46</v>
      </c>
      <c r="F1278" s="15" t="n">
        <v>252387.44</v>
      </c>
      <c r="G1278" s="16" t="n">
        <f aca="false">ROUND(E1278+F1278,2)</f>
        <v>603083.9</v>
      </c>
    </row>
    <row r="1279" customFormat="false" ht="15" hidden="false" customHeight="false" outlineLevel="0" collapsed="false">
      <c r="A1279" s="14" t="s">
        <v>17</v>
      </c>
      <c r="B1279" s="14" t="n">
        <v>2023</v>
      </c>
      <c r="C1279" s="14" t="n">
        <v>10</v>
      </c>
      <c r="D1279" s="14" t="s">
        <v>59</v>
      </c>
      <c r="E1279" s="15" t="n">
        <v>387715.8</v>
      </c>
      <c r="F1279" s="15" t="n">
        <v>286207.09</v>
      </c>
      <c r="G1279" s="16" t="n">
        <f aca="false">ROUND(E1279+F1279,2)</f>
        <v>673922.89</v>
      </c>
    </row>
    <row r="1280" customFormat="false" ht="15" hidden="false" customHeight="false" outlineLevel="0" collapsed="false">
      <c r="A1280" s="14" t="s">
        <v>17</v>
      </c>
      <c r="B1280" s="14" t="n">
        <v>2023</v>
      </c>
      <c r="C1280" s="14" t="n">
        <v>11</v>
      </c>
      <c r="D1280" s="14" t="s">
        <v>60</v>
      </c>
      <c r="E1280" s="15" t="n">
        <v>380593.06</v>
      </c>
      <c r="F1280" s="15" t="n">
        <v>297011.39</v>
      </c>
      <c r="G1280" s="16" t="n">
        <f aca="false">ROUND(E1280+F1280,2)</f>
        <v>677604.45</v>
      </c>
    </row>
    <row r="1281" customFormat="false" ht="15" hidden="false" customHeight="false" outlineLevel="0" collapsed="false">
      <c r="A1281" s="14" t="s">
        <v>17</v>
      </c>
      <c r="B1281" s="14" t="n">
        <v>2023</v>
      </c>
      <c r="C1281" s="14" t="n">
        <v>12</v>
      </c>
      <c r="D1281" s="14" t="s">
        <v>61</v>
      </c>
      <c r="E1281" s="15" t="n">
        <v>346539.99</v>
      </c>
      <c r="F1281" s="15" t="n">
        <v>226187.7</v>
      </c>
      <c r="G1281" s="16" t="n">
        <f aca="false">ROUND(E1281+F1281,2)</f>
        <v>572727.69</v>
      </c>
    </row>
    <row r="1282" customFormat="false" ht="15" hidden="false" customHeight="false" outlineLevel="0" collapsed="false">
      <c r="A1282" s="14" t="s">
        <v>17</v>
      </c>
      <c r="B1282" s="14" t="n">
        <v>2024</v>
      </c>
      <c r="C1282" s="14" t="n">
        <v>1</v>
      </c>
      <c r="D1282" s="14" t="s">
        <v>50</v>
      </c>
      <c r="E1282" s="15" t="n">
        <v>422753.28</v>
      </c>
      <c r="F1282" s="15" t="n">
        <v>281765.16</v>
      </c>
      <c r="G1282" s="16" t="n">
        <f aca="false">ROUND(E1282+F1282,2)</f>
        <v>704518.44</v>
      </c>
    </row>
    <row r="1283" customFormat="false" ht="15" hidden="false" customHeight="false" outlineLevel="0" collapsed="false">
      <c r="A1283" s="14" t="s">
        <v>17</v>
      </c>
      <c r="B1283" s="14" t="n">
        <v>2024</v>
      </c>
      <c r="C1283" s="14" t="n">
        <v>2</v>
      </c>
      <c r="D1283" s="14" t="s">
        <v>51</v>
      </c>
      <c r="E1283" s="15" t="n">
        <v>420297.23</v>
      </c>
      <c r="F1283" s="15" t="n">
        <v>258338.04</v>
      </c>
      <c r="G1283" s="16" t="n">
        <f aca="false">ROUND(E1283+F1283,2)</f>
        <v>678635.27</v>
      </c>
    </row>
    <row r="1284" customFormat="false" ht="15" hidden="false" customHeight="false" outlineLevel="0" collapsed="false">
      <c r="A1284" s="14" t="s">
        <v>17</v>
      </c>
      <c r="B1284" s="14" t="n">
        <v>2024</v>
      </c>
      <c r="C1284" s="14" t="n">
        <v>3</v>
      </c>
      <c r="D1284" s="14" t="s">
        <v>52</v>
      </c>
      <c r="E1284" s="15" t="n">
        <v>402067.97</v>
      </c>
      <c r="F1284" s="15" t="n">
        <v>277122.99</v>
      </c>
      <c r="G1284" s="16" t="n">
        <f aca="false">ROUND(E1284+F1284,2)</f>
        <v>679190.96</v>
      </c>
    </row>
    <row r="1285" customFormat="false" ht="15" hidden="false" customHeight="false" outlineLevel="0" collapsed="false">
      <c r="A1285" s="14" t="s">
        <v>17</v>
      </c>
      <c r="B1285" s="14" t="n">
        <v>2024</v>
      </c>
      <c r="C1285" s="14" t="n">
        <v>4</v>
      </c>
      <c r="D1285" s="14" t="s">
        <v>53</v>
      </c>
      <c r="E1285" s="15" t="n">
        <v>391086.55</v>
      </c>
      <c r="F1285" s="15" t="n">
        <v>265768.22</v>
      </c>
      <c r="G1285" s="16" t="n">
        <f aca="false">ROUND(E1285+F1285,2)</f>
        <v>656854.77</v>
      </c>
    </row>
    <row r="1286" customFormat="false" ht="15" hidden="false" customHeight="false" outlineLevel="0" collapsed="false">
      <c r="A1286" s="14" t="s">
        <v>17</v>
      </c>
      <c r="B1286" s="14" t="n">
        <v>2024</v>
      </c>
      <c r="C1286" s="14" t="n">
        <v>5</v>
      </c>
      <c r="D1286" s="14" t="s">
        <v>54</v>
      </c>
      <c r="E1286" s="15" t="n">
        <v>508745.85</v>
      </c>
      <c r="F1286" s="15" t="n">
        <v>308022.26</v>
      </c>
      <c r="G1286" s="16" t="n">
        <f aca="false">ROUND(E1286+F1286,2)</f>
        <v>816768.11</v>
      </c>
    </row>
    <row r="1287" customFormat="false" ht="15" hidden="false" customHeight="false" outlineLevel="0" collapsed="false">
      <c r="A1287" s="14" t="s">
        <v>17</v>
      </c>
      <c r="B1287" s="14" t="n">
        <v>2024</v>
      </c>
      <c r="C1287" s="14" t="n">
        <v>6</v>
      </c>
      <c r="D1287" s="14" t="s">
        <v>55</v>
      </c>
      <c r="E1287" s="15" t="n">
        <v>141204.79</v>
      </c>
      <c r="F1287" s="15" t="n">
        <v>129995.19</v>
      </c>
      <c r="G1287" s="16" t="n">
        <f aca="false">ROUND(E1287+F1287,2)</f>
        <v>271199.98</v>
      </c>
    </row>
    <row r="1288" customFormat="false" ht="15" hidden="false" customHeight="false" outlineLevel="0" collapsed="false">
      <c r="A1288" s="14" t="s">
        <v>17</v>
      </c>
      <c r="B1288" s="14" t="n">
        <v>2024</v>
      </c>
      <c r="C1288" s="14" t="n">
        <v>7</v>
      </c>
      <c r="D1288" s="14" t="s">
        <v>56</v>
      </c>
      <c r="E1288" s="15" t="n">
        <v>411438.65</v>
      </c>
      <c r="F1288" s="15" t="n">
        <v>292521.91</v>
      </c>
      <c r="G1288" s="16" t="n">
        <f aca="false">ROUND(E1288+F1288,2)</f>
        <v>703960.56</v>
      </c>
    </row>
    <row r="1289" customFormat="false" ht="15" hidden="false" customHeight="false" outlineLevel="0" collapsed="false">
      <c r="A1289" s="14" t="s">
        <v>17</v>
      </c>
      <c r="B1289" s="14" t="n">
        <v>2024</v>
      </c>
      <c r="C1289" s="14" t="n">
        <v>8</v>
      </c>
      <c r="D1289" s="14" t="s">
        <v>57</v>
      </c>
      <c r="E1289" s="15" t="n">
        <v>463195.52</v>
      </c>
      <c r="F1289" s="15" t="n">
        <v>322361.2</v>
      </c>
      <c r="G1289" s="16" t="n">
        <f aca="false">ROUND(E1289+F1289,2)</f>
        <v>785556.72</v>
      </c>
    </row>
    <row r="1290" customFormat="false" ht="15" hidden="false" customHeight="false" outlineLevel="0" collapsed="false">
      <c r="A1290" s="14" t="s">
        <v>17</v>
      </c>
      <c r="B1290" s="14" t="n">
        <v>2024</v>
      </c>
      <c r="C1290" s="14" t="n">
        <v>9</v>
      </c>
      <c r="D1290" s="14" t="s">
        <v>58</v>
      </c>
      <c r="E1290" s="15" t="n">
        <v>378723.83</v>
      </c>
      <c r="F1290" s="15" t="n">
        <v>256310.43</v>
      </c>
      <c r="G1290" s="16" t="n">
        <f aca="false">ROUND(E1290+F1290,2)</f>
        <v>635034.26</v>
      </c>
    </row>
    <row r="1291" customFormat="false" ht="15" hidden="false" customHeight="false" outlineLevel="0" collapsed="false">
      <c r="A1291" s="14" t="s">
        <v>17</v>
      </c>
      <c r="B1291" s="14" t="n">
        <v>2024</v>
      </c>
      <c r="C1291" s="14" t="n">
        <v>10</v>
      </c>
      <c r="D1291" s="14" t="s">
        <v>59</v>
      </c>
      <c r="E1291" s="15" t="n">
        <v>401602.53</v>
      </c>
      <c r="F1291" s="15" t="n">
        <v>322821.07</v>
      </c>
      <c r="G1291" s="16" t="n">
        <f aca="false">ROUND(E1291+F1291,2)</f>
        <v>724423.6</v>
      </c>
    </row>
    <row r="1292" customFormat="false" ht="15" hidden="false" customHeight="false" outlineLevel="0" collapsed="false">
      <c r="A1292" s="14" t="s">
        <v>17</v>
      </c>
      <c r="B1292" s="14" t="n">
        <v>2024</v>
      </c>
      <c r="C1292" s="14" t="n">
        <v>11</v>
      </c>
      <c r="D1292" s="14" t="s">
        <v>60</v>
      </c>
      <c r="E1292" s="15" t="n">
        <v>368661.63</v>
      </c>
      <c r="F1292" s="15" t="n">
        <v>385972.71</v>
      </c>
      <c r="G1292" s="16" t="n">
        <f aca="false">ROUND(E1292+F1292,2)</f>
        <v>754634.34</v>
      </c>
    </row>
    <row r="1293" customFormat="false" ht="15" hidden="false" customHeight="false" outlineLevel="0" collapsed="false">
      <c r="A1293" s="14" t="s">
        <v>17</v>
      </c>
      <c r="B1293" s="14" t="n">
        <v>2024</v>
      </c>
      <c r="C1293" s="14" t="n">
        <v>12</v>
      </c>
      <c r="D1293" s="14" t="s">
        <v>61</v>
      </c>
      <c r="E1293" s="15" t="n">
        <v>430006.12</v>
      </c>
      <c r="F1293" s="15" t="n">
        <v>268448.3</v>
      </c>
      <c r="G1293" s="16" t="n">
        <f aca="false">ROUND(E1293+F1293,2)</f>
        <v>698454.42</v>
      </c>
    </row>
    <row r="1294" customFormat="false" ht="15" hidden="false" customHeight="false" outlineLevel="0" collapsed="false">
      <c r="A1294" s="14" t="s">
        <v>17</v>
      </c>
      <c r="B1294" s="14" t="n">
        <v>2025</v>
      </c>
      <c r="C1294" s="14" t="n">
        <v>1</v>
      </c>
      <c r="D1294" s="14" t="s">
        <v>50</v>
      </c>
      <c r="E1294" s="15" t="n">
        <v>480288.8</v>
      </c>
      <c r="F1294" s="15" t="n">
        <v>319971.27</v>
      </c>
      <c r="G1294" s="16" t="n">
        <f aca="false">ROUND(E1294+F1294,2)</f>
        <v>800260.07</v>
      </c>
    </row>
    <row r="1295" customFormat="false" ht="15" hidden="false" customHeight="false" outlineLevel="0" collapsed="false">
      <c r="A1295" s="14" t="s">
        <v>17</v>
      </c>
      <c r="B1295" s="14" t="n">
        <v>2025</v>
      </c>
      <c r="C1295" s="14" t="n">
        <v>2</v>
      </c>
      <c r="D1295" s="14" t="s">
        <v>51</v>
      </c>
      <c r="E1295" s="15" t="n">
        <v>459069.54</v>
      </c>
      <c r="F1295" s="15" t="n">
        <v>301043.22</v>
      </c>
      <c r="G1295" s="16" t="n">
        <f aca="false">ROUND(E1295+F1295,2)</f>
        <v>760112.76</v>
      </c>
    </row>
    <row r="1296" customFormat="false" ht="15" hidden="false" customHeight="false" outlineLevel="0" collapsed="false">
      <c r="A1296" s="14" t="s">
        <v>17</v>
      </c>
      <c r="B1296" s="14" t="n">
        <v>2025</v>
      </c>
      <c r="C1296" s="14" t="n">
        <v>3</v>
      </c>
      <c r="D1296" s="14" t="s">
        <v>52</v>
      </c>
      <c r="E1296" s="15" t="n">
        <v>452042.47</v>
      </c>
      <c r="F1296" s="15" t="n">
        <v>270384.41</v>
      </c>
      <c r="G1296" s="16" t="n">
        <f aca="false">ROUND(E1296+F1296,2)</f>
        <v>722426.88</v>
      </c>
    </row>
    <row r="1297" customFormat="false" ht="15" hidden="false" customHeight="false" outlineLevel="0" collapsed="false">
      <c r="A1297" s="14" t="s">
        <v>17</v>
      </c>
      <c r="B1297" s="14" t="n">
        <v>2025</v>
      </c>
      <c r="C1297" s="14" t="n">
        <v>4</v>
      </c>
      <c r="D1297" s="14" t="s">
        <v>53</v>
      </c>
      <c r="E1297" s="15" t="n">
        <v>444813.06</v>
      </c>
      <c r="F1297" s="15" t="n">
        <v>263498.35</v>
      </c>
      <c r="G1297" s="16" t="n">
        <f aca="false">ROUND(E1297+F1297,2)</f>
        <v>708311.41</v>
      </c>
    </row>
    <row r="1298" customFormat="false" ht="15" hidden="false" customHeight="false" outlineLevel="0" collapsed="false">
      <c r="A1298" s="14" t="s">
        <v>17</v>
      </c>
      <c r="B1298" s="14" t="n">
        <v>2025</v>
      </c>
      <c r="C1298" s="14" t="n">
        <v>5</v>
      </c>
      <c r="D1298" s="14" t="s">
        <v>54</v>
      </c>
      <c r="E1298" s="15" t="n">
        <v>474219.02</v>
      </c>
      <c r="F1298" s="15" t="n">
        <v>284992.77</v>
      </c>
      <c r="G1298" s="16" t="n">
        <f aca="false">ROUND(E1298+F1298,2)</f>
        <v>759211.79</v>
      </c>
    </row>
    <row r="1299" customFormat="false" ht="15" hidden="false" customHeight="false" outlineLevel="0" collapsed="false">
      <c r="A1299" s="14" t="s">
        <v>17</v>
      </c>
      <c r="B1299" s="14" t="n">
        <v>2025</v>
      </c>
      <c r="C1299" s="14" t="n">
        <v>6</v>
      </c>
      <c r="D1299" s="14" t="s">
        <v>55</v>
      </c>
      <c r="E1299" s="15" t="n">
        <v>440897.86</v>
      </c>
      <c r="F1299" s="15" t="n">
        <v>328120.21</v>
      </c>
      <c r="G1299" s="16" t="n">
        <f aca="false">ROUND(E1299+F1299,2)</f>
        <v>769018.07</v>
      </c>
    </row>
    <row r="1300" customFormat="false" ht="15" hidden="false" customHeight="false" outlineLevel="0" collapsed="false">
      <c r="A1300" s="14" t="s">
        <v>17</v>
      </c>
      <c r="B1300" s="14" t="n">
        <v>2025</v>
      </c>
      <c r="C1300" s="14" t="n">
        <v>7</v>
      </c>
      <c r="D1300" s="14" t="s">
        <v>56</v>
      </c>
      <c r="E1300" s="15" t="n">
        <v>391673.62</v>
      </c>
      <c r="F1300" s="15" t="n">
        <v>287201.74</v>
      </c>
      <c r="G1300" s="16" t="n">
        <f aca="false">ROUND(E1300+F1300,2)</f>
        <v>678875.36</v>
      </c>
    </row>
    <row r="1301" customFormat="false" ht="15" hidden="false" customHeight="false" outlineLevel="0" collapsed="false">
      <c r="A1301" s="14" t="s">
        <v>17</v>
      </c>
      <c r="B1301" s="14" t="n">
        <v>2025</v>
      </c>
      <c r="C1301" s="14" t="n">
        <v>8</v>
      </c>
      <c r="D1301" s="14" t="s">
        <v>57</v>
      </c>
      <c r="E1301" s="15" t="n">
        <v>380728.78</v>
      </c>
      <c r="F1301" s="15" t="n">
        <v>270216.41</v>
      </c>
      <c r="G1301" s="16" t="n">
        <f aca="false">ROUND(E1301+F1301,2)</f>
        <v>650945.19</v>
      </c>
    </row>
    <row r="1302" customFormat="false" ht="15" hidden="false" customHeight="false" outlineLevel="0" collapsed="false">
      <c r="A1302" s="14" t="s">
        <v>17</v>
      </c>
      <c r="B1302" s="14" t="n">
        <v>2025</v>
      </c>
      <c r="C1302" s="14" t="n">
        <v>9</v>
      </c>
      <c r="D1302" s="14" t="s">
        <v>58</v>
      </c>
      <c r="E1302" s="15" t="n">
        <v>361906.73</v>
      </c>
      <c r="F1302" s="15" t="n">
        <v>259807.36</v>
      </c>
      <c r="G1302" s="16" t="n">
        <f aca="false">ROUND(E1302+F1302,2)</f>
        <v>621714.09</v>
      </c>
    </row>
    <row r="1303" customFormat="false" ht="15" hidden="false" customHeight="false" outlineLevel="0" collapsed="false">
      <c r="A1303" s="14" t="s">
        <v>17</v>
      </c>
      <c r="B1303" s="14" t="n">
        <v>2025</v>
      </c>
      <c r="C1303" s="14" t="n">
        <v>10</v>
      </c>
      <c r="D1303" s="14" t="s">
        <v>59</v>
      </c>
      <c r="E1303" s="15" t="n">
        <v>382211.02</v>
      </c>
      <c r="F1303" s="15" t="n">
        <v>278856.44</v>
      </c>
      <c r="G1303" s="16" t="n">
        <f aca="false">ROUND(E1303+F1303,2)</f>
        <v>661067.46</v>
      </c>
    </row>
    <row r="1304" customFormat="false" ht="15" hidden="false" customHeight="false" outlineLevel="0" collapsed="false">
      <c r="A1304" s="14" t="s">
        <v>17</v>
      </c>
      <c r="B1304" s="14" t="n">
        <v>2025</v>
      </c>
      <c r="C1304" s="14" t="n">
        <v>11</v>
      </c>
      <c r="D1304" s="14" t="s">
        <v>60</v>
      </c>
      <c r="E1304" s="15" t="n">
        <v>392112.78</v>
      </c>
      <c r="F1304" s="15" t="n">
        <v>250989.73</v>
      </c>
      <c r="G1304" s="16" t="n">
        <f aca="false">ROUND(E1304+F1304,2)</f>
        <v>643102.51</v>
      </c>
    </row>
    <row r="1305" customFormat="false" ht="15" hidden="false" customHeight="false" outlineLevel="0" collapsed="false">
      <c r="A1305" s="14" t="s">
        <v>17</v>
      </c>
      <c r="B1305" s="14" t="n">
        <v>2025</v>
      </c>
      <c r="C1305" s="14" t="n">
        <v>12</v>
      </c>
      <c r="D1305" s="14" t="s">
        <v>61</v>
      </c>
      <c r="E1305" s="15" t="n">
        <v>399896.25</v>
      </c>
      <c r="F1305" s="15" t="n">
        <v>268005.51</v>
      </c>
      <c r="G1305" s="16" t="n">
        <f aca="false">ROUND(E1305+F1305,2)</f>
        <v>667901.76</v>
      </c>
    </row>
    <row r="1306" customFormat="false" ht="15" hidden="false" customHeight="false" outlineLevel="0" collapsed="false">
      <c r="A1306" s="14" t="s">
        <v>17</v>
      </c>
      <c r="B1306" s="14" t="n">
        <v>2026</v>
      </c>
      <c r="C1306" s="14" t="n">
        <v>1</v>
      </c>
      <c r="D1306" s="14" t="s">
        <v>50</v>
      </c>
      <c r="E1306" s="15" t="n">
        <v>403116.01</v>
      </c>
      <c r="F1306" s="15" t="n">
        <v>260185.63</v>
      </c>
      <c r="G1306" s="16" t="n">
        <f aca="false">ROUND(E1306+F1306,2)</f>
        <v>663301.64</v>
      </c>
    </row>
    <row r="1307" customFormat="false" ht="15" hidden="false" customHeight="false" outlineLevel="0" collapsed="false">
      <c r="A1307" s="14" t="s">
        <v>17</v>
      </c>
      <c r="B1307" s="14" t="n">
        <v>2026</v>
      </c>
      <c r="C1307" s="14" t="n">
        <v>2</v>
      </c>
      <c r="D1307" s="14" t="s">
        <v>51</v>
      </c>
      <c r="E1307" s="15" t="n">
        <v>414005.06</v>
      </c>
      <c r="F1307" s="15" t="n">
        <v>254172.3</v>
      </c>
      <c r="G1307" s="16" t="n">
        <f aca="false">ROUND(E1307+F1307,2)</f>
        <v>668177.36</v>
      </c>
    </row>
    <row r="1308" customFormat="false" ht="15" hidden="false" customHeight="false" outlineLevel="0" collapsed="false">
      <c r="A1308" s="14" t="s">
        <v>17</v>
      </c>
      <c r="B1308" s="14" t="n">
        <v>2026</v>
      </c>
      <c r="C1308" s="14" t="n">
        <v>3</v>
      </c>
      <c r="D1308" s="14" t="s">
        <v>52</v>
      </c>
      <c r="E1308" s="15" t="n">
        <v>427140.01</v>
      </c>
      <c r="F1308" s="15" t="n">
        <v>284596.11</v>
      </c>
      <c r="G1308" s="16" t="n">
        <f aca="false">ROUND(E1308+F1308,2)</f>
        <v>711736.12</v>
      </c>
    </row>
    <row r="1309" customFormat="false" ht="15" hidden="false" customHeight="false" outlineLevel="0" collapsed="false">
      <c r="A1309" s="14" t="s">
        <v>17</v>
      </c>
      <c r="B1309" s="14" t="n">
        <v>2026</v>
      </c>
      <c r="C1309" s="14" t="n">
        <v>4</v>
      </c>
      <c r="D1309" s="14" t="s">
        <v>53</v>
      </c>
      <c r="E1309" s="15" t="n">
        <v>489010.33</v>
      </c>
      <c r="F1309" s="15" t="n">
        <v>306106.2</v>
      </c>
      <c r="G1309" s="16" t="n">
        <f aca="false">ROUND(E1309+F1309,2)</f>
        <v>795116.53</v>
      </c>
    </row>
    <row r="1310" customFormat="false" ht="15" hidden="false" customHeight="false" outlineLevel="0" collapsed="false">
      <c r="A1310" s="14" t="s">
        <v>17</v>
      </c>
      <c r="B1310" s="14" t="n">
        <v>2026</v>
      </c>
      <c r="C1310" s="14" t="n">
        <v>5</v>
      </c>
      <c r="D1310" s="14" t="s">
        <v>54</v>
      </c>
      <c r="E1310" s="15" t="n">
        <v>427543.23</v>
      </c>
      <c r="F1310" s="15" t="n">
        <v>262238.02</v>
      </c>
      <c r="G1310" s="16" t="n">
        <f aca="false">ROUND(E1310+F1310,2)</f>
        <v>689781.25</v>
      </c>
    </row>
    <row r="1311" customFormat="false" ht="15" hidden="false" customHeight="false" outlineLevel="0" collapsed="false">
      <c r="A1311" s="14" t="s">
        <v>17</v>
      </c>
      <c r="B1311" s="14" t="n">
        <v>2026</v>
      </c>
      <c r="C1311" s="14" t="n">
        <v>6</v>
      </c>
      <c r="D1311" s="14" t="s">
        <v>55</v>
      </c>
      <c r="E1311" s="15" t="n">
        <v>448057.51</v>
      </c>
      <c r="F1311" s="15" t="n">
        <v>283420.25</v>
      </c>
      <c r="G1311" s="16" t="n">
        <f aca="false">ROUND(E1311+F1311,2)</f>
        <v>731477.76</v>
      </c>
    </row>
    <row r="1312" customFormat="false" ht="15" hidden="false" customHeight="false" outlineLevel="0" collapsed="false">
      <c r="A1312" s="14" t="s">
        <v>17</v>
      </c>
      <c r="B1312" s="14" t="n">
        <v>2026</v>
      </c>
      <c r="C1312" s="14" t="n">
        <v>7</v>
      </c>
      <c r="D1312" s="14" t="s">
        <v>56</v>
      </c>
      <c r="E1312" s="15" t="n">
        <v>543895.05</v>
      </c>
      <c r="F1312" s="15" t="n">
        <v>301559.7</v>
      </c>
      <c r="G1312" s="16" t="n">
        <f aca="false">ROUND(E1312+F1312,2)</f>
        <v>845454.75</v>
      </c>
    </row>
    <row r="1313" customFormat="false" ht="15" hidden="false" customHeight="false" outlineLevel="0" collapsed="false">
      <c r="A1313" s="14" t="s">
        <v>38</v>
      </c>
      <c r="B1313" s="14" t="n">
        <v>2021</v>
      </c>
      <c r="C1313" s="14" t="n">
        <v>1</v>
      </c>
      <c r="D1313" s="14" t="s">
        <v>50</v>
      </c>
      <c r="E1313" s="15" t="n">
        <v>111622.56</v>
      </c>
      <c r="F1313" s="15" t="n">
        <v>49426.06</v>
      </c>
      <c r="G1313" s="16" t="n">
        <f aca="false">ROUND(E1313+F1313,2)</f>
        <v>161048.62</v>
      </c>
    </row>
    <row r="1314" customFormat="false" ht="15" hidden="false" customHeight="false" outlineLevel="0" collapsed="false">
      <c r="A1314" s="14" t="s">
        <v>38</v>
      </c>
      <c r="B1314" s="14" t="n">
        <v>2021</v>
      </c>
      <c r="C1314" s="14" t="n">
        <v>2</v>
      </c>
      <c r="D1314" s="14" t="s">
        <v>51</v>
      </c>
      <c r="E1314" s="15" t="n">
        <v>105440.51</v>
      </c>
      <c r="F1314" s="15" t="n">
        <v>43578.74</v>
      </c>
      <c r="G1314" s="16" t="n">
        <f aca="false">ROUND(E1314+F1314,2)</f>
        <v>149019.25</v>
      </c>
    </row>
    <row r="1315" customFormat="false" ht="15" hidden="false" customHeight="false" outlineLevel="0" collapsed="false">
      <c r="A1315" s="14" t="s">
        <v>38</v>
      </c>
      <c r="B1315" s="14" t="n">
        <v>2021</v>
      </c>
      <c r="C1315" s="14" t="n">
        <v>3</v>
      </c>
      <c r="D1315" s="14" t="s">
        <v>52</v>
      </c>
      <c r="E1315" s="15" t="n">
        <v>126352.39</v>
      </c>
      <c r="F1315" s="15" t="n">
        <v>60902.45</v>
      </c>
      <c r="G1315" s="16" t="n">
        <f aca="false">ROUND(E1315+F1315,2)</f>
        <v>187254.84</v>
      </c>
    </row>
    <row r="1316" customFormat="false" ht="15" hidden="false" customHeight="false" outlineLevel="0" collapsed="false">
      <c r="A1316" s="14" t="s">
        <v>38</v>
      </c>
      <c r="B1316" s="14" t="n">
        <v>2021</v>
      </c>
      <c r="C1316" s="14" t="n">
        <v>4</v>
      </c>
      <c r="D1316" s="14" t="s">
        <v>53</v>
      </c>
      <c r="E1316" s="15" t="n">
        <v>121146.06</v>
      </c>
      <c r="F1316" s="15" t="n">
        <v>63484.71</v>
      </c>
      <c r="G1316" s="16" t="n">
        <f aca="false">ROUND(E1316+F1316,2)</f>
        <v>184630.77</v>
      </c>
    </row>
    <row r="1317" customFormat="false" ht="15" hidden="false" customHeight="false" outlineLevel="0" collapsed="false">
      <c r="A1317" s="14" t="s">
        <v>38</v>
      </c>
      <c r="B1317" s="14" t="n">
        <v>2021</v>
      </c>
      <c r="C1317" s="14" t="n">
        <v>5</v>
      </c>
      <c r="D1317" s="14" t="s">
        <v>54</v>
      </c>
      <c r="E1317" s="15" t="n">
        <v>111048.93</v>
      </c>
      <c r="F1317" s="15" t="n">
        <v>54131.99</v>
      </c>
      <c r="G1317" s="16" t="n">
        <f aca="false">ROUND(E1317+F1317,2)</f>
        <v>165180.92</v>
      </c>
    </row>
    <row r="1318" customFormat="false" ht="15" hidden="false" customHeight="false" outlineLevel="0" collapsed="false">
      <c r="A1318" s="14" t="s">
        <v>38</v>
      </c>
      <c r="B1318" s="14" t="n">
        <v>2021</v>
      </c>
      <c r="C1318" s="14" t="n">
        <v>6</v>
      </c>
      <c r="D1318" s="14" t="s">
        <v>55</v>
      </c>
      <c r="E1318" s="15" t="n">
        <v>130002.42</v>
      </c>
      <c r="F1318" s="15" t="n">
        <v>59551.84</v>
      </c>
      <c r="G1318" s="16" t="n">
        <f aca="false">ROUND(E1318+F1318,2)</f>
        <v>189554.26</v>
      </c>
    </row>
    <row r="1319" customFormat="false" ht="15" hidden="false" customHeight="false" outlineLevel="0" collapsed="false">
      <c r="A1319" s="14" t="s">
        <v>38</v>
      </c>
      <c r="B1319" s="14" t="n">
        <v>2021</v>
      </c>
      <c r="C1319" s="14" t="n">
        <v>7</v>
      </c>
      <c r="D1319" s="14" t="s">
        <v>56</v>
      </c>
      <c r="E1319" s="15" t="n">
        <v>118564.92</v>
      </c>
      <c r="F1319" s="15" t="n">
        <v>68220.02</v>
      </c>
      <c r="G1319" s="16" t="n">
        <f aca="false">ROUND(E1319+F1319,2)</f>
        <v>186784.94</v>
      </c>
    </row>
    <row r="1320" customFormat="false" ht="15" hidden="false" customHeight="false" outlineLevel="0" collapsed="false">
      <c r="A1320" s="14" t="s">
        <v>38</v>
      </c>
      <c r="B1320" s="14" t="n">
        <v>2021</v>
      </c>
      <c r="C1320" s="14" t="n">
        <v>8</v>
      </c>
      <c r="D1320" s="14" t="s">
        <v>57</v>
      </c>
      <c r="E1320" s="15" t="n">
        <v>112105.27</v>
      </c>
      <c r="F1320" s="15" t="n">
        <v>67626.72</v>
      </c>
      <c r="G1320" s="16" t="n">
        <f aca="false">ROUND(E1320+F1320,2)</f>
        <v>179731.99</v>
      </c>
    </row>
    <row r="1321" customFormat="false" ht="15" hidden="false" customHeight="false" outlineLevel="0" collapsed="false">
      <c r="A1321" s="14" t="s">
        <v>38</v>
      </c>
      <c r="B1321" s="14" t="n">
        <v>2021</v>
      </c>
      <c r="C1321" s="14" t="n">
        <v>9</v>
      </c>
      <c r="D1321" s="14" t="s">
        <v>58</v>
      </c>
      <c r="E1321" s="15" t="n">
        <v>90895.45</v>
      </c>
      <c r="F1321" s="15" t="n">
        <v>49260.13</v>
      </c>
      <c r="G1321" s="16" t="n">
        <f aca="false">ROUND(E1321+F1321,2)</f>
        <v>140155.58</v>
      </c>
    </row>
    <row r="1322" customFormat="false" ht="15" hidden="false" customHeight="false" outlineLevel="0" collapsed="false">
      <c r="A1322" s="14" t="s">
        <v>38</v>
      </c>
      <c r="B1322" s="14" t="n">
        <v>2021</v>
      </c>
      <c r="C1322" s="14" t="n">
        <v>10</v>
      </c>
      <c r="D1322" s="14" t="s">
        <v>59</v>
      </c>
      <c r="E1322" s="15" t="n">
        <v>106571.96</v>
      </c>
      <c r="F1322" s="15" t="n">
        <v>61153.41</v>
      </c>
      <c r="G1322" s="16" t="n">
        <f aca="false">ROUND(E1322+F1322,2)</f>
        <v>167725.37</v>
      </c>
    </row>
    <row r="1323" customFormat="false" ht="15" hidden="false" customHeight="false" outlineLevel="0" collapsed="false">
      <c r="A1323" s="14" t="s">
        <v>38</v>
      </c>
      <c r="B1323" s="14" t="n">
        <v>2021</v>
      </c>
      <c r="C1323" s="14" t="n">
        <v>11</v>
      </c>
      <c r="D1323" s="14" t="s">
        <v>60</v>
      </c>
      <c r="E1323" s="15" t="n">
        <v>82214.72</v>
      </c>
      <c r="F1323" s="15" t="n">
        <v>44677.88</v>
      </c>
      <c r="G1323" s="16" t="n">
        <f aca="false">ROUND(E1323+F1323,2)</f>
        <v>126892.6</v>
      </c>
    </row>
    <row r="1324" customFormat="false" ht="15" hidden="false" customHeight="false" outlineLevel="0" collapsed="false">
      <c r="A1324" s="14" t="s">
        <v>38</v>
      </c>
      <c r="B1324" s="14" t="n">
        <v>2021</v>
      </c>
      <c r="C1324" s="14" t="n">
        <v>12</v>
      </c>
      <c r="D1324" s="14" t="s">
        <v>61</v>
      </c>
      <c r="E1324" s="15" t="n">
        <v>82893.76</v>
      </c>
      <c r="F1324" s="15" t="n">
        <v>49990.61</v>
      </c>
      <c r="G1324" s="16" t="n">
        <f aca="false">ROUND(E1324+F1324,2)</f>
        <v>132884.37</v>
      </c>
    </row>
    <row r="1325" customFormat="false" ht="15" hidden="false" customHeight="false" outlineLevel="0" collapsed="false">
      <c r="A1325" s="14" t="s">
        <v>38</v>
      </c>
      <c r="B1325" s="14" t="n">
        <v>2022</v>
      </c>
      <c r="C1325" s="14" t="n">
        <v>1</v>
      </c>
      <c r="D1325" s="14" t="s">
        <v>50</v>
      </c>
      <c r="E1325" s="15" t="n">
        <v>64955.16</v>
      </c>
      <c r="F1325" s="15" t="n">
        <v>44886.35</v>
      </c>
      <c r="G1325" s="16" t="n">
        <f aca="false">ROUND(E1325+F1325,2)</f>
        <v>109841.51</v>
      </c>
    </row>
    <row r="1326" customFormat="false" ht="15" hidden="false" customHeight="false" outlineLevel="0" collapsed="false">
      <c r="A1326" s="14" t="s">
        <v>38</v>
      </c>
      <c r="B1326" s="14" t="n">
        <v>2022</v>
      </c>
      <c r="C1326" s="14" t="n">
        <v>2</v>
      </c>
      <c r="D1326" s="14" t="s">
        <v>51</v>
      </c>
      <c r="E1326" s="15" t="n">
        <v>80162.77</v>
      </c>
      <c r="F1326" s="15" t="n">
        <v>49850.85</v>
      </c>
      <c r="G1326" s="16" t="n">
        <f aca="false">ROUND(E1326+F1326,2)</f>
        <v>130013.62</v>
      </c>
    </row>
    <row r="1327" customFormat="false" ht="15" hidden="false" customHeight="false" outlineLevel="0" collapsed="false">
      <c r="A1327" s="14" t="s">
        <v>38</v>
      </c>
      <c r="B1327" s="14" t="n">
        <v>2022</v>
      </c>
      <c r="C1327" s="14" t="n">
        <v>3</v>
      </c>
      <c r="D1327" s="14" t="s">
        <v>52</v>
      </c>
      <c r="E1327" s="15" t="n">
        <v>97271.19</v>
      </c>
      <c r="F1327" s="15" t="n">
        <v>57238.3</v>
      </c>
      <c r="G1327" s="16" t="n">
        <f aca="false">ROUND(E1327+F1327,2)</f>
        <v>154509.49</v>
      </c>
    </row>
    <row r="1328" customFormat="false" ht="15" hidden="false" customHeight="false" outlineLevel="0" collapsed="false">
      <c r="A1328" s="14" t="s">
        <v>38</v>
      </c>
      <c r="B1328" s="14" t="n">
        <v>2022</v>
      </c>
      <c r="C1328" s="14" t="n">
        <v>4</v>
      </c>
      <c r="D1328" s="14" t="s">
        <v>53</v>
      </c>
      <c r="E1328" s="15" t="n">
        <v>71146.72</v>
      </c>
      <c r="F1328" s="15" t="n">
        <v>49588.82</v>
      </c>
      <c r="G1328" s="16" t="n">
        <f aca="false">ROUND(E1328+F1328,2)</f>
        <v>120735.54</v>
      </c>
    </row>
    <row r="1329" customFormat="false" ht="15" hidden="false" customHeight="false" outlineLevel="0" collapsed="false">
      <c r="A1329" s="14" t="s">
        <v>38</v>
      </c>
      <c r="B1329" s="14" t="n">
        <v>2022</v>
      </c>
      <c r="C1329" s="14" t="n">
        <v>5</v>
      </c>
      <c r="D1329" s="14" t="s">
        <v>54</v>
      </c>
      <c r="E1329" s="15" t="n">
        <v>90437.19</v>
      </c>
      <c r="F1329" s="15" t="n">
        <v>50834.47</v>
      </c>
      <c r="G1329" s="16" t="n">
        <f aca="false">ROUND(E1329+F1329,2)</f>
        <v>141271.66</v>
      </c>
    </row>
    <row r="1330" customFormat="false" ht="15" hidden="false" customHeight="false" outlineLevel="0" collapsed="false">
      <c r="A1330" s="14" t="s">
        <v>38</v>
      </c>
      <c r="B1330" s="14" t="n">
        <v>2022</v>
      </c>
      <c r="C1330" s="14" t="n">
        <v>6</v>
      </c>
      <c r="D1330" s="14" t="s">
        <v>55</v>
      </c>
      <c r="E1330" s="15" t="n">
        <v>96006.91</v>
      </c>
      <c r="F1330" s="15" t="n">
        <v>76322.29</v>
      </c>
      <c r="G1330" s="16" t="n">
        <f aca="false">ROUND(E1330+F1330,2)</f>
        <v>172329.2</v>
      </c>
    </row>
    <row r="1331" customFormat="false" ht="15" hidden="false" customHeight="false" outlineLevel="0" collapsed="false">
      <c r="A1331" s="14" t="s">
        <v>38</v>
      </c>
      <c r="B1331" s="14" t="n">
        <v>2022</v>
      </c>
      <c r="C1331" s="14" t="n">
        <v>7</v>
      </c>
      <c r="D1331" s="14" t="s">
        <v>56</v>
      </c>
      <c r="E1331" s="15" t="n">
        <v>102955.66</v>
      </c>
      <c r="F1331" s="15" t="n">
        <v>75234.48</v>
      </c>
      <c r="G1331" s="16" t="n">
        <f aca="false">ROUND(E1331+F1331,2)</f>
        <v>178190.14</v>
      </c>
    </row>
    <row r="1332" customFormat="false" ht="15" hidden="false" customHeight="false" outlineLevel="0" collapsed="false">
      <c r="A1332" s="14" t="s">
        <v>38</v>
      </c>
      <c r="B1332" s="14" t="n">
        <v>2022</v>
      </c>
      <c r="C1332" s="14" t="n">
        <v>8</v>
      </c>
      <c r="D1332" s="14" t="s">
        <v>57</v>
      </c>
      <c r="E1332" s="15" t="n">
        <v>116243.96</v>
      </c>
      <c r="F1332" s="15" t="n">
        <v>86645.42</v>
      </c>
      <c r="G1332" s="16" t="n">
        <f aca="false">ROUND(E1332+F1332,2)</f>
        <v>202889.38</v>
      </c>
    </row>
    <row r="1333" customFormat="false" ht="15" hidden="false" customHeight="false" outlineLevel="0" collapsed="false">
      <c r="A1333" s="14" t="s">
        <v>38</v>
      </c>
      <c r="B1333" s="14" t="n">
        <v>2022</v>
      </c>
      <c r="C1333" s="14" t="n">
        <v>9</v>
      </c>
      <c r="D1333" s="14" t="s">
        <v>58</v>
      </c>
      <c r="E1333" s="15" t="n">
        <v>126289.94</v>
      </c>
      <c r="F1333" s="15" t="n">
        <v>84009.82</v>
      </c>
      <c r="G1333" s="16" t="n">
        <f aca="false">ROUND(E1333+F1333,2)</f>
        <v>210299.76</v>
      </c>
    </row>
    <row r="1334" customFormat="false" ht="15" hidden="false" customHeight="false" outlineLevel="0" collapsed="false">
      <c r="A1334" s="14" t="s">
        <v>38</v>
      </c>
      <c r="B1334" s="14" t="n">
        <v>2022</v>
      </c>
      <c r="C1334" s="14" t="n">
        <v>10</v>
      </c>
      <c r="D1334" s="14" t="s">
        <v>59</v>
      </c>
      <c r="E1334" s="15" t="n">
        <v>126717.87</v>
      </c>
      <c r="F1334" s="15" t="n">
        <v>78595.11</v>
      </c>
      <c r="G1334" s="16" t="n">
        <f aca="false">ROUND(E1334+F1334,2)</f>
        <v>205312.98</v>
      </c>
    </row>
    <row r="1335" customFormat="false" ht="15" hidden="false" customHeight="false" outlineLevel="0" collapsed="false">
      <c r="A1335" s="14" t="s">
        <v>38</v>
      </c>
      <c r="B1335" s="14" t="n">
        <v>2022</v>
      </c>
      <c r="C1335" s="14" t="n">
        <v>11</v>
      </c>
      <c r="D1335" s="14" t="s">
        <v>60</v>
      </c>
      <c r="E1335" s="15" t="n">
        <v>90535.52</v>
      </c>
      <c r="F1335" s="15" t="n">
        <v>58987.5</v>
      </c>
      <c r="G1335" s="16" t="n">
        <f aca="false">ROUND(E1335+F1335,2)</f>
        <v>149523.02</v>
      </c>
    </row>
    <row r="1336" customFormat="false" ht="15" hidden="false" customHeight="false" outlineLevel="0" collapsed="false">
      <c r="A1336" s="14" t="s">
        <v>38</v>
      </c>
      <c r="B1336" s="14" t="n">
        <v>2022</v>
      </c>
      <c r="C1336" s="14" t="n">
        <v>12</v>
      </c>
      <c r="D1336" s="14" t="s">
        <v>61</v>
      </c>
      <c r="E1336" s="15" t="n">
        <v>75215.78</v>
      </c>
      <c r="F1336" s="15" t="n">
        <v>42912.37</v>
      </c>
      <c r="G1336" s="16" t="n">
        <f aca="false">ROUND(E1336+F1336,2)</f>
        <v>118128.15</v>
      </c>
    </row>
    <row r="1337" customFormat="false" ht="15" hidden="false" customHeight="false" outlineLevel="0" collapsed="false">
      <c r="A1337" s="14" t="s">
        <v>38</v>
      </c>
      <c r="B1337" s="14" t="n">
        <v>2023</v>
      </c>
      <c r="C1337" s="14" t="n">
        <v>1</v>
      </c>
      <c r="D1337" s="14" t="s">
        <v>50</v>
      </c>
      <c r="E1337" s="15" t="n">
        <v>83664.7</v>
      </c>
      <c r="F1337" s="15" t="n">
        <v>53634.92</v>
      </c>
      <c r="G1337" s="16" t="n">
        <f aca="false">ROUND(E1337+F1337,2)</f>
        <v>137299.62</v>
      </c>
    </row>
    <row r="1338" customFormat="false" ht="15" hidden="false" customHeight="false" outlineLevel="0" collapsed="false">
      <c r="A1338" s="14" t="s">
        <v>38</v>
      </c>
      <c r="B1338" s="14" t="n">
        <v>2023</v>
      </c>
      <c r="C1338" s="14" t="n">
        <v>2</v>
      </c>
      <c r="D1338" s="14" t="s">
        <v>51</v>
      </c>
      <c r="E1338" s="15" t="n">
        <v>85003.85</v>
      </c>
      <c r="F1338" s="15" t="n">
        <v>77357.2</v>
      </c>
      <c r="G1338" s="16" t="n">
        <f aca="false">ROUND(E1338+F1338,2)</f>
        <v>162361.05</v>
      </c>
    </row>
    <row r="1339" customFormat="false" ht="15" hidden="false" customHeight="false" outlineLevel="0" collapsed="false">
      <c r="A1339" s="14" t="s">
        <v>38</v>
      </c>
      <c r="B1339" s="14" t="n">
        <v>2023</v>
      </c>
      <c r="C1339" s="14" t="n">
        <v>3</v>
      </c>
      <c r="D1339" s="14" t="s">
        <v>52</v>
      </c>
      <c r="E1339" s="15" t="n">
        <v>139567.04</v>
      </c>
      <c r="F1339" s="15" t="n">
        <v>98219.9</v>
      </c>
      <c r="G1339" s="16" t="n">
        <f aca="false">ROUND(E1339+F1339,2)</f>
        <v>237786.94</v>
      </c>
    </row>
    <row r="1340" customFormat="false" ht="15" hidden="false" customHeight="false" outlineLevel="0" collapsed="false">
      <c r="A1340" s="14" t="s">
        <v>38</v>
      </c>
      <c r="B1340" s="14" t="n">
        <v>2023</v>
      </c>
      <c r="C1340" s="14" t="n">
        <v>4</v>
      </c>
      <c r="D1340" s="14" t="s">
        <v>53</v>
      </c>
      <c r="E1340" s="15" t="n">
        <v>128389.81</v>
      </c>
      <c r="F1340" s="15" t="n">
        <v>65260.51</v>
      </c>
      <c r="G1340" s="16" t="n">
        <f aca="false">ROUND(E1340+F1340,2)</f>
        <v>193650.32</v>
      </c>
    </row>
    <row r="1341" customFormat="false" ht="15" hidden="false" customHeight="false" outlineLevel="0" collapsed="false">
      <c r="A1341" s="14" t="s">
        <v>38</v>
      </c>
      <c r="B1341" s="14" t="n">
        <v>2023</v>
      </c>
      <c r="C1341" s="14" t="n">
        <v>5</v>
      </c>
      <c r="D1341" s="14" t="s">
        <v>54</v>
      </c>
      <c r="E1341" s="15" t="n">
        <v>106412.66</v>
      </c>
      <c r="F1341" s="15" t="n">
        <v>74682.98</v>
      </c>
      <c r="G1341" s="16" t="n">
        <f aca="false">ROUND(E1341+F1341,2)</f>
        <v>181095.64</v>
      </c>
    </row>
    <row r="1342" customFormat="false" ht="15" hidden="false" customHeight="false" outlineLevel="0" collapsed="false">
      <c r="A1342" s="14" t="s">
        <v>38</v>
      </c>
      <c r="B1342" s="14" t="n">
        <v>2023</v>
      </c>
      <c r="C1342" s="14" t="n">
        <v>6</v>
      </c>
      <c r="D1342" s="14" t="s">
        <v>55</v>
      </c>
      <c r="E1342" s="15" t="n">
        <v>140651.94</v>
      </c>
      <c r="F1342" s="15" t="n">
        <v>107763.98</v>
      </c>
      <c r="G1342" s="16" t="n">
        <f aca="false">ROUND(E1342+F1342,2)</f>
        <v>248415.92</v>
      </c>
    </row>
    <row r="1343" customFormat="false" ht="15" hidden="false" customHeight="false" outlineLevel="0" collapsed="false">
      <c r="A1343" s="14" t="s">
        <v>38</v>
      </c>
      <c r="B1343" s="14" t="n">
        <v>2023</v>
      </c>
      <c r="C1343" s="14" t="n">
        <v>7</v>
      </c>
      <c r="D1343" s="14" t="s">
        <v>56</v>
      </c>
      <c r="E1343" s="15" t="n">
        <v>120897.27</v>
      </c>
      <c r="F1343" s="15" t="n">
        <v>79533.43</v>
      </c>
      <c r="G1343" s="16" t="n">
        <f aca="false">ROUND(E1343+F1343,2)</f>
        <v>200430.7</v>
      </c>
    </row>
    <row r="1344" customFormat="false" ht="15" hidden="false" customHeight="false" outlineLevel="0" collapsed="false">
      <c r="A1344" s="14" t="s">
        <v>38</v>
      </c>
      <c r="B1344" s="14" t="n">
        <v>2023</v>
      </c>
      <c r="C1344" s="14" t="n">
        <v>8</v>
      </c>
      <c r="D1344" s="14" t="s">
        <v>57</v>
      </c>
      <c r="E1344" s="15" t="n">
        <v>163869.26</v>
      </c>
      <c r="F1344" s="15" t="n">
        <v>95126.02</v>
      </c>
      <c r="G1344" s="16" t="n">
        <f aca="false">ROUND(E1344+F1344,2)</f>
        <v>258995.28</v>
      </c>
    </row>
    <row r="1345" customFormat="false" ht="15" hidden="false" customHeight="false" outlineLevel="0" collapsed="false">
      <c r="A1345" s="14" t="s">
        <v>38</v>
      </c>
      <c r="B1345" s="14" t="n">
        <v>2023</v>
      </c>
      <c r="C1345" s="14" t="n">
        <v>9</v>
      </c>
      <c r="D1345" s="14" t="s">
        <v>58</v>
      </c>
      <c r="E1345" s="15" t="n">
        <v>139625.73</v>
      </c>
      <c r="F1345" s="15" t="n">
        <v>78263.85</v>
      </c>
      <c r="G1345" s="16" t="n">
        <f aca="false">ROUND(E1345+F1345,2)</f>
        <v>217889.58</v>
      </c>
    </row>
    <row r="1346" customFormat="false" ht="15" hidden="false" customHeight="false" outlineLevel="0" collapsed="false">
      <c r="A1346" s="14" t="s">
        <v>38</v>
      </c>
      <c r="B1346" s="14" t="n">
        <v>2023</v>
      </c>
      <c r="C1346" s="14" t="n">
        <v>10</v>
      </c>
      <c r="D1346" s="14" t="s">
        <v>59</v>
      </c>
      <c r="E1346" s="15" t="n">
        <v>125714.61</v>
      </c>
      <c r="F1346" s="15" t="n">
        <v>71545.25</v>
      </c>
      <c r="G1346" s="16" t="n">
        <f aca="false">ROUND(E1346+F1346,2)</f>
        <v>197259.86</v>
      </c>
    </row>
    <row r="1347" customFormat="false" ht="15" hidden="false" customHeight="false" outlineLevel="0" collapsed="false">
      <c r="A1347" s="14" t="s">
        <v>38</v>
      </c>
      <c r="B1347" s="14" t="n">
        <v>2023</v>
      </c>
      <c r="C1347" s="14" t="n">
        <v>11</v>
      </c>
      <c r="D1347" s="14" t="s">
        <v>60</v>
      </c>
      <c r="E1347" s="15" t="n">
        <v>153344.71</v>
      </c>
      <c r="F1347" s="15" t="n">
        <v>67792.87</v>
      </c>
      <c r="G1347" s="16" t="n">
        <f aca="false">ROUND(E1347+F1347,2)</f>
        <v>221137.58</v>
      </c>
    </row>
    <row r="1348" customFormat="false" ht="15" hidden="false" customHeight="false" outlineLevel="0" collapsed="false">
      <c r="A1348" s="14" t="s">
        <v>38</v>
      </c>
      <c r="B1348" s="14" t="n">
        <v>2023</v>
      </c>
      <c r="C1348" s="14" t="n">
        <v>12</v>
      </c>
      <c r="D1348" s="14" t="s">
        <v>61</v>
      </c>
      <c r="E1348" s="15" t="n">
        <v>135204.86</v>
      </c>
      <c r="F1348" s="15" t="n">
        <v>77499.01</v>
      </c>
      <c r="G1348" s="16" t="n">
        <f aca="false">ROUND(E1348+F1348,2)</f>
        <v>212703.87</v>
      </c>
    </row>
    <row r="1349" customFormat="false" ht="15" hidden="false" customHeight="false" outlineLevel="0" collapsed="false">
      <c r="A1349" s="14" t="s">
        <v>38</v>
      </c>
      <c r="B1349" s="14" t="n">
        <v>2024</v>
      </c>
      <c r="C1349" s="14" t="n">
        <v>1</v>
      </c>
      <c r="D1349" s="14" t="s">
        <v>50</v>
      </c>
      <c r="E1349" s="15" t="n">
        <v>120488.18</v>
      </c>
      <c r="F1349" s="15" t="n">
        <v>61244.05</v>
      </c>
      <c r="G1349" s="16" t="n">
        <f aca="false">ROUND(E1349+F1349,2)</f>
        <v>181732.23</v>
      </c>
    </row>
    <row r="1350" customFormat="false" ht="15" hidden="false" customHeight="false" outlineLevel="0" collapsed="false">
      <c r="A1350" s="14" t="s">
        <v>38</v>
      </c>
      <c r="B1350" s="14" t="n">
        <v>2024</v>
      </c>
      <c r="C1350" s="14" t="n">
        <v>2</v>
      </c>
      <c r="D1350" s="14" t="s">
        <v>51</v>
      </c>
      <c r="E1350" s="15" t="n">
        <v>143237.6</v>
      </c>
      <c r="F1350" s="15" t="n">
        <v>87346.05</v>
      </c>
      <c r="G1350" s="16" t="n">
        <f aca="false">ROUND(E1350+F1350,2)</f>
        <v>230583.65</v>
      </c>
    </row>
    <row r="1351" customFormat="false" ht="15" hidden="false" customHeight="false" outlineLevel="0" collapsed="false">
      <c r="A1351" s="14" t="s">
        <v>38</v>
      </c>
      <c r="B1351" s="14" t="n">
        <v>2024</v>
      </c>
      <c r="C1351" s="14" t="n">
        <v>3</v>
      </c>
      <c r="D1351" s="14" t="s">
        <v>52</v>
      </c>
      <c r="E1351" s="15" t="n">
        <v>128014.01</v>
      </c>
      <c r="F1351" s="15" t="n">
        <v>81413.13</v>
      </c>
      <c r="G1351" s="16" t="n">
        <f aca="false">ROUND(E1351+F1351,2)</f>
        <v>209427.14</v>
      </c>
    </row>
    <row r="1352" customFormat="false" ht="15" hidden="false" customHeight="false" outlineLevel="0" collapsed="false">
      <c r="A1352" s="14" t="s">
        <v>38</v>
      </c>
      <c r="B1352" s="14" t="n">
        <v>2024</v>
      </c>
      <c r="C1352" s="14" t="n">
        <v>4</v>
      </c>
      <c r="D1352" s="14" t="s">
        <v>53</v>
      </c>
      <c r="E1352" s="15" t="n">
        <v>129876.08</v>
      </c>
      <c r="F1352" s="15" t="n">
        <v>80944.01</v>
      </c>
      <c r="G1352" s="16" t="n">
        <f aca="false">ROUND(E1352+F1352,2)</f>
        <v>210820.09</v>
      </c>
    </row>
    <row r="1353" customFormat="false" ht="15" hidden="false" customHeight="false" outlineLevel="0" collapsed="false">
      <c r="A1353" s="14" t="s">
        <v>38</v>
      </c>
      <c r="B1353" s="14" t="n">
        <v>2024</v>
      </c>
      <c r="C1353" s="14" t="n">
        <v>5</v>
      </c>
      <c r="D1353" s="14" t="s">
        <v>54</v>
      </c>
      <c r="E1353" s="15" t="n">
        <v>129915.73</v>
      </c>
      <c r="F1353" s="15" t="n">
        <v>103583.88</v>
      </c>
      <c r="G1353" s="16" t="n">
        <f aca="false">ROUND(E1353+F1353,2)</f>
        <v>233499.61</v>
      </c>
    </row>
    <row r="1354" customFormat="false" ht="15" hidden="false" customHeight="false" outlineLevel="0" collapsed="false">
      <c r="A1354" s="14" t="s">
        <v>38</v>
      </c>
      <c r="B1354" s="14" t="n">
        <v>2024</v>
      </c>
      <c r="C1354" s="14" t="n">
        <v>6</v>
      </c>
      <c r="D1354" s="14" t="s">
        <v>55</v>
      </c>
      <c r="E1354" s="15" t="n">
        <v>28187.22</v>
      </c>
      <c r="F1354" s="15" t="n">
        <v>21980.28</v>
      </c>
      <c r="G1354" s="16" t="n">
        <f aca="false">ROUND(E1354+F1354,2)</f>
        <v>50167.5</v>
      </c>
    </row>
    <row r="1355" customFormat="false" ht="15" hidden="false" customHeight="false" outlineLevel="0" collapsed="false">
      <c r="A1355" s="14" t="s">
        <v>38</v>
      </c>
      <c r="B1355" s="14" t="n">
        <v>2024</v>
      </c>
      <c r="C1355" s="14" t="n">
        <v>7</v>
      </c>
      <c r="D1355" s="14" t="s">
        <v>56</v>
      </c>
      <c r="E1355" s="15" t="n">
        <v>139042.03</v>
      </c>
      <c r="F1355" s="15" t="n">
        <v>85795.49</v>
      </c>
      <c r="G1355" s="16" t="n">
        <f aca="false">ROUND(E1355+F1355,2)</f>
        <v>224837.52</v>
      </c>
    </row>
    <row r="1356" customFormat="false" ht="15" hidden="false" customHeight="false" outlineLevel="0" collapsed="false">
      <c r="A1356" s="14" t="s">
        <v>38</v>
      </c>
      <c r="B1356" s="14" t="n">
        <v>2024</v>
      </c>
      <c r="C1356" s="14" t="n">
        <v>8</v>
      </c>
      <c r="D1356" s="14" t="s">
        <v>57</v>
      </c>
      <c r="E1356" s="15" t="n">
        <v>172126.01</v>
      </c>
      <c r="F1356" s="15" t="n">
        <v>121731.12</v>
      </c>
      <c r="G1356" s="16" t="n">
        <f aca="false">ROUND(E1356+F1356,2)</f>
        <v>293857.13</v>
      </c>
    </row>
    <row r="1357" customFormat="false" ht="15" hidden="false" customHeight="false" outlineLevel="0" collapsed="false">
      <c r="A1357" s="14" t="s">
        <v>38</v>
      </c>
      <c r="B1357" s="14" t="n">
        <v>2024</v>
      </c>
      <c r="C1357" s="14" t="n">
        <v>9</v>
      </c>
      <c r="D1357" s="14" t="s">
        <v>58</v>
      </c>
      <c r="E1357" s="15" t="n">
        <v>179551.61</v>
      </c>
      <c r="F1357" s="15" t="n">
        <v>113377.67</v>
      </c>
      <c r="G1357" s="16" t="n">
        <f aca="false">ROUND(E1357+F1357,2)</f>
        <v>292929.28</v>
      </c>
    </row>
    <row r="1358" customFormat="false" ht="15" hidden="false" customHeight="false" outlineLevel="0" collapsed="false">
      <c r="A1358" s="14" t="s">
        <v>38</v>
      </c>
      <c r="B1358" s="14" t="n">
        <v>2024</v>
      </c>
      <c r="C1358" s="14" t="n">
        <v>10</v>
      </c>
      <c r="D1358" s="14" t="s">
        <v>59</v>
      </c>
      <c r="E1358" s="15" t="n">
        <v>157415.33</v>
      </c>
      <c r="F1358" s="15" t="n">
        <v>105346.14</v>
      </c>
      <c r="G1358" s="16" t="n">
        <f aca="false">ROUND(E1358+F1358,2)</f>
        <v>262761.47</v>
      </c>
    </row>
    <row r="1359" customFormat="false" ht="15" hidden="false" customHeight="false" outlineLevel="0" collapsed="false">
      <c r="A1359" s="14" t="s">
        <v>38</v>
      </c>
      <c r="B1359" s="14" t="n">
        <v>2024</v>
      </c>
      <c r="C1359" s="14" t="n">
        <v>11</v>
      </c>
      <c r="D1359" s="14" t="s">
        <v>60</v>
      </c>
      <c r="E1359" s="15" t="n">
        <v>148131.69</v>
      </c>
      <c r="F1359" s="15" t="n">
        <v>87608.04</v>
      </c>
      <c r="G1359" s="16" t="n">
        <f aca="false">ROUND(E1359+F1359,2)</f>
        <v>235739.73</v>
      </c>
    </row>
    <row r="1360" customFormat="false" ht="15" hidden="false" customHeight="false" outlineLevel="0" collapsed="false">
      <c r="A1360" s="14" t="s">
        <v>38</v>
      </c>
      <c r="B1360" s="14" t="n">
        <v>2024</v>
      </c>
      <c r="C1360" s="14" t="n">
        <v>12</v>
      </c>
      <c r="D1360" s="14" t="s">
        <v>61</v>
      </c>
      <c r="E1360" s="15" t="n">
        <v>153593.81</v>
      </c>
      <c r="F1360" s="15" t="n">
        <v>84010.47</v>
      </c>
      <c r="G1360" s="16" t="n">
        <f aca="false">ROUND(E1360+F1360,2)</f>
        <v>237604.28</v>
      </c>
    </row>
    <row r="1361" customFormat="false" ht="15" hidden="false" customHeight="false" outlineLevel="0" collapsed="false">
      <c r="A1361" s="14" t="s">
        <v>38</v>
      </c>
      <c r="B1361" s="14" t="n">
        <v>2025</v>
      </c>
      <c r="C1361" s="14" t="n">
        <v>1</v>
      </c>
      <c r="D1361" s="14" t="s">
        <v>50</v>
      </c>
      <c r="E1361" s="15" t="n">
        <v>190433.14</v>
      </c>
      <c r="F1361" s="15" t="n">
        <v>86977.75</v>
      </c>
      <c r="G1361" s="16" t="n">
        <f aca="false">ROUND(E1361+F1361,2)</f>
        <v>277410.89</v>
      </c>
    </row>
    <row r="1362" customFormat="false" ht="15" hidden="false" customHeight="false" outlineLevel="0" collapsed="false">
      <c r="A1362" s="14" t="s">
        <v>38</v>
      </c>
      <c r="B1362" s="14" t="n">
        <v>2025</v>
      </c>
      <c r="C1362" s="14" t="n">
        <v>2</v>
      </c>
      <c r="D1362" s="14" t="s">
        <v>51</v>
      </c>
      <c r="E1362" s="15" t="n">
        <v>134878.16</v>
      </c>
      <c r="F1362" s="15" t="n">
        <v>68962.65</v>
      </c>
      <c r="G1362" s="16" t="n">
        <f aca="false">ROUND(E1362+F1362,2)</f>
        <v>203840.81</v>
      </c>
    </row>
    <row r="1363" customFormat="false" ht="15" hidden="false" customHeight="false" outlineLevel="0" collapsed="false">
      <c r="A1363" s="14" t="s">
        <v>38</v>
      </c>
      <c r="B1363" s="14" t="n">
        <v>2025</v>
      </c>
      <c r="C1363" s="14" t="n">
        <v>3</v>
      </c>
      <c r="D1363" s="14" t="s">
        <v>52</v>
      </c>
      <c r="E1363" s="15" t="n">
        <v>128232.23</v>
      </c>
      <c r="F1363" s="15" t="n">
        <v>69034.05</v>
      </c>
      <c r="G1363" s="16" t="n">
        <f aca="false">ROUND(E1363+F1363,2)</f>
        <v>197266.28</v>
      </c>
    </row>
    <row r="1364" customFormat="false" ht="15" hidden="false" customHeight="false" outlineLevel="0" collapsed="false">
      <c r="A1364" s="14" t="s">
        <v>38</v>
      </c>
      <c r="B1364" s="14" t="n">
        <v>2025</v>
      </c>
      <c r="C1364" s="14" t="n">
        <v>4</v>
      </c>
      <c r="D1364" s="14" t="s">
        <v>53</v>
      </c>
      <c r="E1364" s="15" t="n">
        <v>155402.69</v>
      </c>
      <c r="F1364" s="15" t="n">
        <v>87091.6</v>
      </c>
      <c r="G1364" s="16" t="n">
        <f aca="false">ROUND(E1364+F1364,2)</f>
        <v>242494.29</v>
      </c>
    </row>
    <row r="1365" customFormat="false" ht="15" hidden="false" customHeight="false" outlineLevel="0" collapsed="false">
      <c r="A1365" s="14" t="s">
        <v>38</v>
      </c>
      <c r="B1365" s="14" t="n">
        <v>2025</v>
      </c>
      <c r="C1365" s="14" t="n">
        <v>5</v>
      </c>
      <c r="D1365" s="14" t="s">
        <v>54</v>
      </c>
      <c r="E1365" s="15" t="n">
        <v>147504.5</v>
      </c>
      <c r="F1365" s="15" t="n">
        <v>98959.36</v>
      </c>
      <c r="G1365" s="16" t="n">
        <f aca="false">ROUND(E1365+F1365,2)</f>
        <v>246463.86</v>
      </c>
    </row>
    <row r="1366" customFormat="false" ht="15" hidden="false" customHeight="false" outlineLevel="0" collapsed="false">
      <c r="A1366" s="14" t="s">
        <v>38</v>
      </c>
      <c r="B1366" s="14" t="n">
        <v>2025</v>
      </c>
      <c r="C1366" s="14" t="n">
        <v>6</v>
      </c>
      <c r="D1366" s="14" t="s">
        <v>55</v>
      </c>
      <c r="E1366" s="15" t="n">
        <v>162398.35</v>
      </c>
      <c r="F1366" s="15" t="n">
        <v>110241.85</v>
      </c>
      <c r="G1366" s="16" t="n">
        <f aca="false">ROUND(E1366+F1366,2)</f>
        <v>272640.2</v>
      </c>
    </row>
    <row r="1367" customFormat="false" ht="15" hidden="false" customHeight="false" outlineLevel="0" collapsed="false">
      <c r="A1367" s="14" t="s">
        <v>38</v>
      </c>
      <c r="B1367" s="14" t="n">
        <v>2025</v>
      </c>
      <c r="C1367" s="14" t="n">
        <v>7</v>
      </c>
      <c r="D1367" s="14" t="s">
        <v>56</v>
      </c>
      <c r="E1367" s="15" t="n">
        <v>156762.37</v>
      </c>
      <c r="F1367" s="15" t="n">
        <v>121576.59</v>
      </c>
      <c r="G1367" s="16" t="n">
        <f aca="false">ROUND(E1367+F1367,2)</f>
        <v>278338.96</v>
      </c>
    </row>
    <row r="1368" customFormat="false" ht="15" hidden="false" customHeight="false" outlineLevel="0" collapsed="false">
      <c r="A1368" s="14" t="s">
        <v>38</v>
      </c>
      <c r="B1368" s="14" t="n">
        <v>2025</v>
      </c>
      <c r="C1368" s="14" t="n">
        <v>8</v>
      </c>
      <c r="D1368" s="14" t="s">
        <v>57</v>
      </c>
      <c r="E1368" s="15" t="n">
        <v>80721.86</v>
      </c>
      <c r="F1368" s="15" t="n">
        <v>53027.88</v>
      </c>
      <c r="G1368" s="16" t="n">
        <f aca="false">ROUND(E1368+F1368,2)</f>
        <v>133749.74</v>
      </c>
    </row>
    <row r="1369" customFormat="false" ht="15" hidden="false" customHeight="false" outlineLevel="0" collapsed="false">
      <c r="A1369" s="14" t="s">
        <v>38</v>
      </c>
      <c r="B1369" s="14" t="n">
        <v>2025</v>
      </c>
      <c r="C1369" s="14" t="n">
        <v>9</v>
      </c>
      <c r="D1369" s="14" t="s">
        <v>58</v>
      </c>
      <c r="E1369" s="15" t="n">
        <v>120356.52</v>
      </c>
      <c r="F1369" s="15" t="n">
        <v>78567.79</v>
      </c>
      <c r="G1369" s="16" t="n">
        <f aca="false">ROUND(E1369+F1369,2)</f>
        <v>198924.31</v>
      </c>
    </row>
    <row r="1370" customFormat="false" ht="15" hidden="false" customHeight="false" outlineLevel="0" collapsed="false">
      <c r="A1370" s="14" t="s">
        <v>38</v>
      </c>
      <c r="B1370" s="14" t="n">
        <v>2025</v>
      </c>
      <c r="C1370" s="14" t="n">
        <v>10</v>
      </c>
      <c r="D1370" s="14" t="s">
        <v>59</v>
      </c>
      <c r="E1370" s="15" t="n">
        <v>145400.58</v>
      </c>
      <c r="F1370" s="15" t="n">
        <v>114019.31</v>
      </c>
      <c r="G1370" s="16" t="n">
        <f aca="false">ROUND(E1370+F1370,2)</f>
        <v>259419.89</v>
      </c>
    </row>
    <row r="1371" customFormat="false" ht="15" hidden="false" customHeight="false" outlineLevel="0" collapsed="false">
      <c r="A1371" s="14" t="s">
        <v>38</v>
      </c>
      <c r="B1371" s="14" t="n">
        <v>2025</v>
      </c>
      <c r="C1371" s="14" t="n">
        <v>11</v>
      </c>
      <c r="D1371" s="14" t="s">
        <v>60</v>
      </c>
      <c r="E1371" s="15" t="n">
        <v>115891.14</v>
      </c>
      <c r="F1371" s="15" t="n">
        <v>68495.79</v>
      </c>
      <c r="G1371" s="16" t="n">
        <f aca="false">ROUND(E1371+F1371,2)</f>
        <v>184386.93</v>
      </c>
    </row>
    <row r="1372" customFormat="false" ht="15" hidden="false" customHeight="false" outlineLevel="0" collapsed="false">
      <c r="A1372" s="14" t="s">
        <v>38</v>
      </c>
      <c r="B1372" s="14" t="n">
        <v>2025</v>
      </c>
      <c r="C1372" s="14" t="n">
        <v>12</v>
      </c>
      <c r="D1372" s="14" t="s">
        <v>61</v>
      </c>
      <c r="E1372" s="15" t="n">
        <v>133693.46</v>
      </c>
      <c r="F1372" s="15" t="n">
        <v>75727.25</v>
      </c>
      <c r="G1372" s="16" t="n">
        <f aca="false">ROUND(E1372+F1372,2)</f>
        <v>209420.71</v>
      </c>
    </row>
    <row r="1373" customFormat="false" ht="15" hidden="false" customHeight="false" outlineLevel="0" collapsed="false">
      <c r="A1373" s="14" t="s">
        <v>38</v>
      </c>
      <c r="B1373" s="14" t="n">
        <v>2026</v>
      </c>
      <c r="C1373" s="14" t="n">
        <v>1</v>
      </c>
      <c r="D1373" s="14" t="s">
        <v>50</v>
      </c>
      <c r="E1373" s="15" t="n">
        <v>150736.88</v>
      </c>
      <c r="F1373" s="15" t="n">
        <v>78692.89</v>
      </c>
      <c r="G1373" s="16" t="n">
        <f aca="false">ROUND(E1373+F1373,2)</f>
        <v>229429.77</v>
      </c>
    </row>
    <row r="1374" customFormat="false" ht="15" hidden="false" customHeight="false" outlineLevel="0" collapsed="false">
      <c r="A1374" s="14" t="s">
        <v>38</v>
      </c>
      <c r="B1374" s="14" t="n">
        <v>2026</v>
      </c>
      <c r="C1374" s="14" t="n">
        <v>2</v>
      </c>
      <c r="D1374" s="14" t="s">
        <v>51</v>
      </c>
      <c r="E1374" s="15" t="n">
        <v>122617.96</v>
      </c>
      <c r="F1374" s="15" t="n">
        <v>58033.06</v>
      </c>
      <c r="G1374" s="16" t="n">
        <f aca="false">ROUND(E1374+F1374,2)</f>
        <v>180651.02</v>
      </c>
    </row>
    <row r="1375" customFormat="false" ht="15" hidden="false" customHeight="false" outlineLevel="0" collapsed="false">
      <c r="A1375" s="14" t="s">
        <v>38</v>
      </c>
      <c r="B1375" s="14" t="n">
        <v>2026</v>
      </c>
      <c r="C1375" s="14" t="n">
        <v>3</v>
      </c>
      <c r="D1375" s="14" t="s">
        <v>52</v>
      </c>
      <c r="E1375" s="15" t="n">
        <v>159383.22</v>
      </c>
      <c r="F1375" s="15" t="n">
        <v>102299.35</v>
      </c>
      <c r="G1375" s="16" t="n">
        <f aca="false">ROUND(E1375+F1375,2)</f>
        <v>261682.57</v>
      </c>
    </row>
    <row r="1376" customFormat="false" ht="15" hidden="false" customHeight="false" outlineLevel="0" collapsed="false">
      <c r="A1376" s="14" t="s">
        <v>38</v>
      </c>
      <c r="B1376" s="14" t="n">
        <v>2026</v>
      </c>
      <c r="C1376" s="14" t="n">
        <v>4</v>
      </c>
      <c r="D1376" s="14" t="s">
        <v>53</v>
      </c>
      <c r="E1376" s="15" t="n">
        <v>186927.28</v>
      </c>
      <c r="F1376" s="15" t="n">
        <v>82076.75</v>
      </c>
      <c r="G1376" s="16" t="n">
        <f aca="false">ROUND(E1376+F1376,2)</f>
        <v>269004.03</v>
      </c>
    </row>
    <row r="1377" customFormat="false" ht="15" hidden="false" customHeight="false" outlineLevel="0" collapsed="false">
      <c r="A1377" s="14" t="s">
        <v>38</v>
      </c>
      <c r="B1377" s="14" t="n">
        <v>2026</v>
      </c>
      <c r="C1377" s="14" t="n">
        <v>5</v>
      </c>
      <c r="D1377" s="14" t="s">
        <v>54</v>
      </c>
      <c r="E1377" s="15" t="n">
        <v>149573.28</v>
      </c>
      <c r="F1377" s="15" t="n">
        <v>72945.41</v>
      </c>
      <c r="G1377" s="16" t="n">
        <f aca="false">ROUND(E1377+F1377,2)</f>
        <v>222518.69</v>
      </c>
    </row>
    <row r="1378" customFormat="false" ht="15" hidden="false" customHeight="false" outlineLevel="0" collapsed="false">
      <c r="A1378" s="14" t="s">
        <v>38</v>
      </c>
      <c r="B1378" s="14" t="n">
        <v>2026</v>
      </c>
      <c r="C1378" s="14" t="n">
        <v>6</v>
      </c>
      <c r="D1378" s="14" t="s">
        <v>55</v>
      </c>
      <c r="E1378" s="15" t="n">
        <v>158670.82</v>
      </c>
      <c r="F1378" s="15" t="n">
        <v>90221.8</v>
      </c>
      <c r="G1378" s="16" t="n">
        <f aca="false">ROUND(E1378+F1378,2)</f>
        <v>248892.62</v>
      </c>
    </row>
    <row r="1379" customFormat="false" ht="15" hidden="false" customHeight="false" outlineLevel="0" collapsed="false">
      <c r="A1379" s="14" t="s">
        <v>38</v>
      </c>
      <c r="B1379" s="14" t="n">
        <v>2026</v>
      </c>
      <c r="C1379" s="14" t="n">
        <v>7</v>
      </c>
      <c r="D1379" s="14" t="s">
        <v>56</v>
      </c>
      <c r="E1379" s="15" t="n">
        <v>153518.22</v>
      </c>
      <c r="F1379" s="15" t="n">
        <v>103165.78</v>
      </c>
      <c r="G1379" s="16" t="n">
        <f aca="false">ROUND(E1379+F1379,2)</f>
        <v>256684</v>
      </c>
    </row>
    <row r="1380" customFormat="false" ht="15" hidden="false" customHeight="false" outlineLevel="0" collapsed="false">
      <c r="A1380" s="14" t="s">
        <v>21</v>
      </c>
      <c r="B1380" s="14" t="n">
        <v>2021</v>
      </c>
      <c r="C1380" s="14" t="n">
        <v>1</v>
      </c>
      <c r="D1380" s="14" t="s">
        <v>50</v>
      </c>
      <c r="E1380" s="15" t="n">
        <v>100168.67</v>
      </c>
      <c r="F1380" s="15" t="n">
        <v>51196.86</v>
      </c>
      <c r="G1380" s="16" t="n">
        <f aca="false">ROUND(E1380+F1380,2)</f>
        <v>151365.53</v>
      </c>
    </row>
    <row r="1381" customFormat="false" ht="15" hidden="false" customHeight="false" outlineLevel="0" collapsed="false">
      <c r="A1381" s="14" t="s">
        <v>21</v>
      </c>
      <c r="B1381" s="14" t="n">
        <v>2021</v>
      </c>
      <c r="C1381" s="14" t="n">
        <v>2</v>
      </c>
      <c r="D1381" s="14" t="s">
        <v>51</v>
      </c>
      <c r="E1381" s="15" t="n">
        <v>85998.3</v>
      </c>
      <c r="F1381" s="15" t="n">
        <v>44403.92</v>
      </c>
      <c r="G1381" s="16" t="n">
        <f aca="false">ROUND(E1381+F1381,2)</f>
        <v>130402.22</v>
      </c>
    </row>
    <row r="1382" customFormat="false" ht="15" hidden="false" customHeight="false" outlineLevel="0" collapsed="false">
      <c r="A1382" s="14" t="s">
        <v>21</v>
      </c>
      <c r="B1382" s="14" t="n">
        <v>2021</v>
      </c>
      <c r="C1382" s="14" t="n">
        <v>3</v>
      </c>
      <c r="D1382" s="14" t="s">
        <v>52</v>
      </c>
      <c r="E1382" s="15" t="n">
        <v>120122.76</v>
      </c>
      <c r="F1382" s="15" t="n">
        <v>59111.02</v>
      </c>
      <c r="G1382" s="16" t="n">
        <f aca="false">ROUND(E1382+F1382,2)</f>
        <v>179233.78</v>
      </c>
    </row>
    <row r="1383" customFormat="false" ht="15" hidden="false" customHeight="false" outlineLevel="0" collapsed="false">
      <c r="A1383" s="14" t="s">
        <v>21</v>
      </c>
      <c r="B1383" s="14" t="n">
        <v>2021</v>
      </c>
      <c r="C1383" s="14" t="n">
        <v>4</v>
      </c>
      <c r="D1383" s="14" t="s">
        <v>53</v>
      </c>
      <c r="E1383" s="15" t="n">
        <v>130912.71</v>
      </c>
      <c r="F1383" s="15" t="n">
        <v>53279.92</v>
      </c>
      <c r="G1383" s="16" t="n">
        <f aca="false">ROUND(E1383+F1383,2)</f>
        <v>184192.63</v>
      </c>
    </row>
    <row r="1384" customFormat="false" ht="15" hidden="false" customHeight="false" outlineLevel="0" collapsed="false">
      <c r="A1384" s="14" t="s">
        <v>21</v>
      </c>
      <c r="B1384" s="14" t="n">
        <v>2021</v>
      </c>
      <c r="C1384" s="14" t="n">
        <v>5</v>
      </c>
      <c r="D1384" s="14" t="s">
        <v>54</v>
      </c>
      <c r="E1384" s="15" t="n">
        <v>122254.5</v>
      </c>
      <c r="F1384" s="15" t="n">
        <v>56392.95</v>
      </c>
      <c r="G1384" s="16" t="n">
        <f aca="false">ROUND(E1384+F1384,2)</f>
        <v>178647.45</v>
      </c>
    </row>
    <row r="1385" customFormat="false" ht="15" hidden="false" customHeight="false" outlineLevel="0" collapsed="false">
      <c r="A1385" s="14" t="s">
        <v>21</v>
      </c>
      <c r="B1385" s="14" t="n">
        <v>2021</v>
      </c>
      <c r="C1385" s="14" t="n">
        <v>6</v>
      </c>
      <c r="D1385" s="14" t="s">
        <v>55</v>
      </c>
      <c r="E1385" s="15" t="n">
        <v>133981.43</v>
      </c>
      <c r="F1385" s="15" t="n">
        <v>67664.59</v>
      </c>
      <c r="G1385" s="16" t="n">
        <f aca="false">ROUND(E1385+F1385,2)</f>
        <v>201646.02</v>
      </c>
    </row>
    <row r="1386" customFormat="false" ht="15" hidden="false" customHeight="false" outlineLevel="0" collapsed="false">
      <c r="A1386" s="14" t="s">
        <v>21</v>
      </c>
      <c r="B1386" s="14" t="n">
        <v>2021</v>
      </c>
      <c r="C1386" s="14" t="n">
        <v>7</v>
      </c>
      <c r="D1386" s="14" t="s">
        <v>56</v>
      </c>
      <c r="E1386" s="15" t="n">
        <v>129998.96</v>
      </c>
      <c r="F1386" s="15" t="n">
        <v>58776.03</v>
      </c>
      <c r="G1386" s="16" t="n">
        <f aca="false">ROUND(E1386+F1386,2)</f>
        <v>188774.99</v>
      </c>
    </row>
    <row r="1387" customFormat="false" ht="15" hidden="false" customHeight="false" outlineLevel="0" collapsed="false">
      <c r="A1387" s="14" t="s">
        <v>21</v>
      </c>
      <c r="B1387" s="14" t="n">
        <v>2021</v>
      </c>
      <c r="C1387" s="14" t="n">
        <v>8</v>
      </c>
      <c r="D1387" s="14" t="s">
        <v>57</v>
      </c>
      <c r="E1387" s="15" t="n">
        <v>150358.3</v>
      </c>
      <c r="F1387" s="15" t="n">
        <v>63168.16</v>
      </c>
      <c r="G1387" s="16" t="n">
        <f aca="false">ROUND(E1387+F1387,2)</f>
        <v>213526.46</v>
      </c>
    </row>
    <row r="1388" customFormat="false" ht="15" hidden="false" customHeight="false" outlineLevel="0" collapsed="false">
      <c r="A1388" s="14" t="s">
        <v>21</v>
      </c>
      <c r="B1388" s="14" t="n">
        <v>2021</v>
      </c>
      <c r="C1388" s="14" t="n">
        <v>9</v>
      </c>
      <c r="D1388" s="14" t="s">
        <v>58</v>
      </c>
      <c r="E1388" s="15" t="n">
        <v>119833.34</v>
      </c>
      <c r="F1388" s="15" t="n">
        <v>58906.33</v>
      </c>
      <c r="G1388" s="16" t="n">
        <f aca="false">ROUND(E1388+F1388,2)</f>
        <v>178739.67</v>
      </c>
    </row>
    <row r="1389" customFormat="false" ht="15" hidden="false" customHeight="false" outlineLevel="0" collapsed="false">
      <c r="A1389" s="14" t="s">
        <v>21</v>
      </c>
      <c r="B1389" s="14" t="n">
        <v>2021</v>
      </c>
      <c r="C1389" s="14" t="n">
        <v>10</v>
      </c>
      <c r="D1389" s="14" t="s">
        <v>59</v>
      </c>
      <c r="E1389" s="15" t="n">
        <v>106424.71</v>
      </c>
      <c r="F1389" s="15" t="n">
        <v>56924.94</v>
      </c>
      <c r="G1389" s="16" t="n">
        <f aca="false">ROUND(E1389+F1389,2)</f>
        <v>163349.65</v>
      </c>
    </row>
    <row r="1390" customFormat="false" ht="15" hidden="false" customHeight="false" outlineLevel="0" collapsed="false">
      <c r="A1390" s="14" t="s">
        <v>21</v>
      </c>
      <c r="B1390" s="14" t="n">
        <v>2021</v>
      </c>
      <c r="C1390" s="14" t="n">
        <v>11</v>
      </c>
      <c r="D1390" s="14" t="s">
        <v>60</v>
      </c>
      <c r="E1390" s="15" t="n">
        <v>115833.36</v>
      </c>
      <c r="F1390" s="15" t="n">
        <v>51919.13</v>
      </c>
      <c r="G1390" s="16" t="n">
        <f aca="false">ROUND(E1390+F1390,2)</f>
        <v>167752.49</v>
      </c>
    </row>
    <row r="1391" customFormat="false" ht="15" hidden="false" customHeight="false" outlineLevel="0" collapsed="false">
      <c r="A1391" s="14" t="s">
        <v>21</v>
      </c>
      <c r="B1391" s="14" t="n">
        <v>2021</v>
      </c>
      <c r="C1391" s="14" t="n">
        <v>12</v>
      </c>
      <c r="D1391" s="14" t="s">
        <v>61</v>
      </c>
      <c r="E1391" s="15" t="n">
        <v>130898.57</v>
      </c>
      <c r="F1391" s="15" t="n">
        <v>53670.22</v>
      </c>
      <c r="G1391" s="16" t="n">
        <f aca="false">ROUND(E1391+F1391,2)</f>
        <v>184568.79</v>
      </c>
    </row>
    <row r="1392" customFormat="false" ht="15" hidden="false" customHeight="false" outlineLevel="0" collapsed="false">
      <c r="A1392" s="14" t="s">
        <v>21</v>
      </c>
      <c r="B1392" s="14" t="n">
        <v>2022</v>
      </c>
      <c r="C1392" s="14" t="n">
        <v>1</v>
      </c>
      <c r="D1392" s="14" t="s">
        <v>50</v>
      </c>
      <c r="E1392" s="15" t="n">
        <v>144798.39</v>
      </c>
      <c r="F1392" s="15" t="n">
        <v>60967.26</v>
      </c>
      <c r="G1392" s="16" t="n">
        <f aca="false">ROUND(E1392+F1392,2)</f>
        <v>205765.65</v>
      </c>
    </row>
    <row r="1393" customFormat="false" ht="15" hidden="false" customHeight="false" outlineLevel="0" collapsed="false">
      <c r="A1393" s="14" t="s">
        <v>21</v>
      </c>
      <c r="B1393" s="14" t="n">
        <v>2022</v>
      </c>
      <c r="C1393" s="14" t="n">
        <v>2</v>
      </c>
      <c r="D1393" s="14" t="s">
        <v>51</v>
      </c>
      <c r="E1393" s="15" t="n">
        <v>137072.65</v>
      </c>
      <c r="F1393" s="15" t="n">
        <v>53967.31</v>
      </c>
      <c r="G1393" s="16" t="n">
        <f aca="false">ROUND(E1393+F1393,2)</f>
        <v>191039.96</v>
      </c>
    </row>
    <row r="1394" customFormat="false" ht="15" hidden="false" customHeight="false" outlineLevel="0" collapsed="false">
      <c r="A1394" s="14" t="s">
        <v>21</v>
      </c>
      <c r="B1394" s="14" t="n">
        <v>2022</v>
      </c>
      <c r="C1394" s="14" t="n">
        <v>3</v>
      </c>
      <c r="D1394" s="14" t="s">
        <v>52</v>
      </c>
      <c r="E1394" s="15" t="n">
        <v>157831.52</v>
      </c>
      <c r="F1394" s="15" t="n">
        <v>75605.58</v>
      </c>
      <c r="G1394" s="16" t="n">
        <f aca="false">ROUND(E1394+F1394,2)</f>
        <v>233437.1</v>
      </c>
    </row>
    <row r="1395" customFormat="false" ht="15" hidden="false" customHeight="false" outlineLevel="0" collapsed="false">
      <c r="A1395" s="14" t="s">
        <v>21</v>
      </c>
      <c r="B1395" s="14" t="n">
        <v>2022</v>
      </c>
      <c r="C1395" s="14" t="n">
        <v>4</v>
      </c>
      <c r="D1395" s="14" t="s">
        <v>53</v>
      </c>
      <c r="E1395" s="15" t="n">
        <v>171541.39</v>
      </c>
      <c r="F1395" s="15" t="n">
        <v>79823.93</v>
      </c>
      <c r="G1395" s="16" t="n">
        <f aca="false">ROUND(E1395+F1395,2)</f>
        <v>251365.32</v>
      </c>
    </row>
    <row r="1396" customFormat="false" ht="15" hidden="false" customHeight="false" outlineLevel="0" collapsed="false">
      <c r="A1396" s="14" t="s">
        <v>21</v>
      </c>
      <c r="B1396" s="14" t="n">
        <v>2022</v>
      </c>
      <c r="C1396" s="14" t="n">
        <v>5</v>
      </c>
      <c r="D1396" s="14" t="s">
        <v>54</v>
      </c>
      <c r="E1396" s="15" t="n">
        <v>109242.48</v>
      </c>
      <c r="F1396" s="15" t="n">
        <v>52281.84</v>
      </c>
      <c r="G1396" s="16" t="n">
        <f aca="false">ROUND(E1396+F1396,2)</f>
        <v>161524.32</v>
      </c>
    </row>
    <row r="1397" customFormat="false" ht="15" hidden="false" customHeight="false" outlineLevel="0" collapsed="false">
      <c r="A1397" s="14" t="s">
        <v>21</v>
      </c>
      <c r="B1397" s="14" t="n">
        <v>2022</v>
      </c>
      <c r="C1397" s="14" t="n">
        <v>6</v>
      </c>
      <c r="D1397" s="14" t="s">
        <v>55</v>
      </c>
      <c r="E1397" s="15" t="n">
        <v>143796.92</v>
      </c>
      <c r="F1397" s="15" t="n">
        <v>79964.66</v>
      </c>
      <c r="G1397" s="16" t="n">
        <f aca="false">ROUND(E1397+F1397,2)</f>
        <v>223761.58</v>
      </c>
    </row>
    <row r="1398" customFormat="false" ht="15" hidden="false" customHeight="false" outlineLevel="0" collapsed="false">
      <c r="A1398" s="14" t="s">
        <v>21</v>
      </c>
      <c r="B1398" s="14" t="n">
        <v>2022</v>
      </c>
      <c r="C1398" s="14" t="n">
        <v>7</v>
      </c>
      <c r="D1398" s="14" t="s">
        <v>56</v>
      </c>
      <c r="E1398" s="15" t="n">
        <v>116466.35</v>
      </c>
      <c r="F1398" s="15" t="n">
        <v>62514.5</v>
      </c>
      <c r="G1398" s="16" t="n">
        <f aca="false">ROUND(E1398+F1398,2)</f>
        <v>178980.85</v>
      </c>
    </row>
    <row r="1399" customFormat="false" ht="15" hidden="false" customHeight="false" outlineLevel="0" collapsed="false">
      <c r="A1399" s="14" t="s">
        <v>21</v>
      </c>
      <c r="B1399" s="14" t="n">
        <v>2022</v>
      </c>
      <c r="C1399" s="14" t="n">
        <v>8</v>
      </c>
      <c r="D1399" s="14" t="s">
        <v>57</v>
      </c>
      <c r="E1399" s="15" t="n">
        <v>168657.58</v>
      </c>
      <c r="F1399" s="15" t="n">
        <v>84674.82</v>
      </c>
      <c r="G1399" s="16" t="n">
        <f aca="false">ROUND(E1399+F1399,2)</f>
        <v>253332.4</v>
      </c>
    </row>
    <row r="1400" customFormat="false" ht="15" hidden="false" customHeight="false" outlineLevel="0" collapsed="false">
      <c r="A1400" s="14" t="s">
        <v>21</v>
      </c>
      <c r="B1400" s="14" t="n">
        <v>2022</v>
      </c>
      <c r="C1400" s="14" t="n">
        <v>9</v>
      </c>
      <c r="D1400" s="14" t="s">
        <v>58</v>
      </c>
      <c r="E1400" s="15" t="n">
        <v>134822.88</v>
      </c>
      <c r="F1400" s="15" t="n">
        <v>71971.27</v>
      </c>
      <c r="G1400" s="16" t="n">
        <f aca="false">ROUND(E1400+F1400,2)</f>
        <v>206794.15</v>
      </c>
    </row>
    <row r="1401" customFormat="false" ht="15" hidden="false" customHeight="false" outlineLevel="0" collapsed="false">
      <c r="A1401" s="14" t="s">
        <v>21</v>
      </c>
      <c r="B1401" s="14" t="n">
        <v>2022</v>
      </c>
      <c r="C1401" s="14" t="n">
        <v>10</v>
      </c>
      <c r="D1401" s="14" t="s">
        <v>59</v>
      </c>
      <c r="E1401" s="15" t="n">
        <v>129549.01</v>
      </c>
      <c r="F1401" s="15" t="n">
        <v>68984.16</v>
      </c>
      <c r="G1401" s="16" t="n">
        <f aca="false">ROUND(E1401+F1401,2)</f>
        <v>198533.17</v>
      </c>
    </row>
    <row r="1402" customFormat="false" ht="15" hidden="false" customHeight="false" outlineLevel="0" collapsed="false">
      <c r="A1402" s="14" t="s">
        <v>21</v>
      </c>
      <c r="B1402" s="14" t="n">
        <v>2022</v>
      </c>
      <c r="C1402" s="14" t="n">
        <v>11</v>
      </c>
      <c r="D1402" s="14" t="s">
        <v>60</v>
      </c>
      <c r="E1402" s="15" t="n">
        <v>152729.67</v>
      </c>
      <c r="F1402" s="15" t="n">
        <v>81372.37</v>
      </c>
      <c r="G1402" s="16" t="n">
        <f aca="false">ROUND(E1402+F1402,2)</f>
        <v>234102.04</v>
      </c>
    </row>
    <row r="1403" customFormat="false" ht="15" hidden="false" customHeight="false" outlineLevel="0" collapsed="false">
      <c r="A1403" s="14" t="s">
        <v>21</v>
      </c>
      <c r="B1403" s="14" t="n">
        <v>2022</v>
      </c>
      <c r="C1403" s="14" t="n">
        <v>12</v>
      </c>
      <c r="D1403" s="14" t="s">
        <v>61</v>
      </c>
      <c r="E1403" s="15" t="n">
        <v>147189.56</v>
      </c>
      <c r="F1403" s="15" t="n">
        <v>89193.2</v>
      </c>
      <c r="G1403" s="16" t="n">
        <f aca="false">ROUND(E1403+F1403,2)</f>
        <v>236382.76</v>
      </c>
    </row>
    <row r="1404" customFormat="false" ht="15" hidden="false" customHeight="false" outlineLevel="0" collapsed="false">
      <c r="A1404" s="14" t="s">
        <v>21</v>
      </c>
      <c r="B1404" s="14" t="n">
        <v>2023</v>
      </c>
      <c r="C1404" s="14" t="n">
        <v>1</v>
      </c>
      <c r="D1404" s="14" t="s">
        <v>50</v>
      </c>
      <c r="E1404" s="15" t="n">
        <v>152774.58</v>
      </c>
      <c r="F1404" s="15" t="n">
        <v>95442.4</v>
      </c>
      <c r="G1404" s="16" t="n">
        <f aca="false">ROUND(E1404+F1404,2)</f>
        <v>248216.98</v>
      </c>
    </row>
    <row r="1405" customFormat="false" ht="15" hidden="false" customHeight="false" outlineLevel="0" collapsed="false">
      <c r="A1405" s="14" t="s">
        <v>21</v>
      </c>
      <c r="B1405" s="14" t="n">
        <v>2023</v>
      </c>
      <c r="C1405" s="14" t="n">
        <v>2</v>
      </c>
      <c r="D1405" s="14" t="s">
        <v>51</v>
      </c>
      <c r="E1405" s="15" t="n">
        <v>123249.61</v>
      </c>
      <c r="F1405" s="15" t="n">
        <v>65542.1</v>
      </c>
      <c r="G1405" s="16" t="n">
        <f aca="false">ROUND(E1405+F1405,2)</f>
        <v>188791.71</v>
      </c>
    </row>
    <row r="1406" customFormat="false" ht="15" hidden="false" customHeight="false" outlineLevel="0" collapsed="false">
      <c r="A1406" s="14" t="s">
        <v>21</v>
      </c>
      <c r="B1406" s="14" t="n">
        <v>2023</v>
      </c>
      <c r="C1406" s="14" t="n">
        <v>3</v>
      </c>
      <c r="D1406" s="14" t="s">
        <v>52</v>
      </c>
      <c r="E1406" s="15" t="n">
        <v>185022.37</v>
      </c>
      <c r="F1406" s="15" t="n">
        <v>92478.56</v>
      </c>
      <c r="G1406" s="16" t="n">
        <f aca="false">ROUND(E1406+F1406,2)</f>
        <v>277500.93</v>
      </c>
    </row>
    <row r="1407" customFormat="false" ht="15" hidden="false" customHeight="false" outlineLevel="0" collapsed="false">
      <c r="A1407" s="14" t="s">
        <v>21</v>
      </c>
      <c r="B1407" s="14" t="n">
        <v>2023</v>
      </c>
      <c r="C1407" s="14" t="n">
        <v>4</v>
      </c>
      <c r="D1407" s="14" t="s">
        <v>53</v>
      </c>
      <c r="E1407" s="15" t="n">
        <v>164445.54</v>
      </c>
      <c r="F1407" s="15" t="n">
        <v>92811.7</v>
      </c>
      <c r="G1407" s="16" t="n">
        <f aca="false">ROUND(E1407+F1407,2)</f>
        <v>257257.24</v>
      </c>
    </row>
    <row r="1408" customFormat="false" ht="15" hidden="false" customHeight="false" outlineLevel="0" collapsed="false">
      <c r="A1408" s="14" t="s">
        <v>21</v>
      </c>
      <c r="B1408" s="14" t="n">
        <v>2023</v>
      </c>
      <c r="C1408" s="14" t="n">
        <v>5</v>
      </c>
      <c r="D1408" s="14" t="s">
        <v>54</v>
      </c>
      <c r="E1408" s="15" t="n">
        <v>180246.76</v>
      </c>
      <c r="F1408" s="15" t="n">
        <v>76714.51</v>
      </c>
      <c r="G1408" s="16" t="n">
        <f aca="false">ROUND(E1408+F1408,2)</f>
        <v>256961.27</v>
      </c>
    </row>
    <row r="1409" customFormat="false" ht="15" hidden="false" customHeight="false" outlineLevel="0" collapsed="false">
      <c r="A1409" s="14" t="s">
        <v>21</v>
      </c>
      <c r="B1409" s="14" t="n">
        <v>2023</v>
      </c>
      <c r="C1409" s="14" t="n">
        <v>6</v>
      </c>
      <c r="D1409" s="14" t="s">
        <v>55</v>
      </c>
      <c r="E1409" s="15" t="n">
        <v>159348.5</v>
      </c>
      <c r="F1409" s="15" t="n">
        <v>79618.34</v>
      </c>
      <c r="G1409" s="16" t="n">
        <f aca="false">ROUND(E1409+F1409,2)</f>
        <v>238966.84</v>
      </c>
    </row>
    <row r="1410" customFormat="false" ht="15" hidden="false" customHeight="false" outlineLevel="0" collapsed="false">
      <c r="A1410" s="14" t="s">
        <v>21</v>
      </c>
      <c r="B1410" s="14" t="n">
        <v>2023</v>
      </c>
      <c r="C1410" s="14" t="n">
        <v>7</v>
      </c>
      <c r="D1410" s="14" t="s">
        <v>56</v>
      </c>
      <c r="E1410" s="15" t="n">
        <v>166558.16</v>
      </c>
      <c r="F1410" s="15" t="n">
        <v>78593.68</v>
      </c>
      <c r="G1410" s="16" t="n">
        <f aca="false">ROUND(E1410+F1410,2)</f>
        <v>245151.84</v>
      </c>
    </row>
    <row r="1411" customFormat="false" ht="15" hidden="false" customHeight="false" outlineLevel="0" collapsed="false">
      <c r="A1411" s="14" t="s">
        <v>21</v>
      </c>
      <c r="B1411" s="14" t="n">
        <v>2023</v>
      </c>
      <c r="C1411" s="14" t="n">
        <v>8</v>
      </c>
      <c r="D1411" s="14" t="s">
        <v>57</v>
      </c>
      <c r="E1411" s="15" t="n">
        <v>165217.59</v>
      </c>
      <c r="F1411" s="15" t="n">
        <v>100209.55</v>
      </c>
      <c r="G1411" s="16" t="n">
        <f aca="false">ROUND(E1411+F1411,2)</f>
        <v>265427.14</v>
      </c>
    </row>
    <row r="1412" customFormat="false" ht="15" hidden="false" customHeight="false" outlineLevel="0" collapsed="false">
      <c r="A1412" s="14" t="s">
        <v>21</v>
      </c>
      <c r="B1412" s="14" t="n">
        <v>2023</v>
      </c>
      <c r="C1412" s="14" t="n">
        <v>9</v>
      </c>
      <c r="D1412" s="14" t="s">
        <v>58</v>
      </c>
      <c r="E1412" s="15" t="n">
        <v>159178.88</v>
      </c>
      <c r="F1412" s="15" t="n">
        <v>89771.31</v>
      </c>
      <c r="G1412" s="16" t="n">
        <f aca="false">ROUND(E1412+F1412,2)</f>
        <v>248950.19</v>
      </c>
    </row>
    <row r="1413" customFormat="false" ht="15" hidden="false" customHeight="false" outlineLevel="0" collapsed="false">
      <c r="A1413" s="14" t="s">
        <v>21</v>
      </c>
      <c r="B1413" s="14" t="n">
        <v>2023</v>
      </c>
      <c r="C1413" s="14" t="n">
        <v>10</v>
      </c>
      <c r="D1413" s="14" t="s">
        <v>59</v>
      </c>
      <c r="E1413" s="15" t="n">
        <v>125875.19</v>
      </c>
      <c r="F1413" s="15" t="n">
        <v>80927.43</v>
      </c>
      <c r="G1413" s="16" t="n">
        <f aca="false">ROUND(E1413+F1413,2)</f>
        <v>206802.62</v>
      </c>
    </row>
    <row r="1414" customFormat="false" ht="15" hidden="false" customHeight="false" outlineLevel="0" collapsed="false">
      <c r="A1414" s="14" t="s">
        <v>21</v>
      </c>
      <c r="B1414" s="14" t="n">
        <v>2023</v>
      </c>
      <c r="C1414" s="14" t="n">
        <v>11</v>
      </c>
      <c r="D1414" s="14" t="s">
        <v>60</v>
      </c>
      <c r="E1414" s="15" t="n">
        <v>122155.39</v>
      </c>
      <c r="F1414" s="15" t="n">
        <v>63508.61</v>
      </c>
      <c r="G1414" s="16" t="n">
        <f aca="false">ROUND(E1414+F1414,2)</f>
        <v>185664</v>
      </c>
    </row>
    <row r="1415" customFormat="false" ht="15" hidden="false" customHeight="false" outlineLevel="0" collapsed="false">
      <c r="A1415" s="14" t="s">
        <v>21</v>
      </c>
      <c r="B1415" s="14" t="n">
        <v>2023</v>
      </c>
      <c r="C1415" s="14" t="n">
        <v>12</v>
      </c>
      <c r="D1415" s="14" t="s">
        <v>61</v>
      </c>
      <c r="E1415" s="15" t="n">
        <v>138983.49</v>
      </c>
      <c r="F1415" s="15" t="n">
        <v>88327.11</v>
      </c>
      <c r="G1415" s="16" t="n">
        <f aca="false">ROUND(E1415+F1415,2)</f>
        <v>227310.6</v>
      </c>
    </row>
    <row r="1416" customFormat="false" ht="15" hidden="false" customHeight="false" outlineLevel="0" collapsed="false">
      <c r="A1416" s="14" t="s">
        <v>21</v>
      </c>
      <c r="B1416" s="14" t="n">
        <v>2024</v>
      </c>
      <c r="C1416" s="14" t="n">
        <v>1</v>
      </c>
      <c r="D1416" s="14" t="s">
        <v>50</v>
      </c>
      <c r="E1416" s="15" t="n">
        <v>165679.33</v>
      </c>
      <c r="F1416" s="15" t="n">
        <v>93299.12</v>
      </c>
      <c r="G1416" s="16" t="n">
        <f aca="false">ROUND(E1416+F1416,2)</f>
        <v>258978.45</v>
      </c>
    </row>
    <row r="1417" customFormat="false" ht="15" hidden="false" customHeight="false" outlineLevel="0" collapsed="false">
      <c r="A1417" s="14" t="s">
        <v>21</v>
      </c>
      <c r="B1417" s="14" t="n">
        <v>2024</v>
      </c>
      <c r="C1417" s="14" t="n">
        <v>2</v>
      </c>
      <c r="D1417" s="14" t="s">
        <v>51</v>
      </c>
      <c r="E1417" s="15" t="n">
        <v>164760.4</v>
      </c>
      <c r="F1417" s="15" t="n">
        <v>77665.27</v>
      </c>
      <c r="G1417" s="16" t="n">
        <f aca="false">ROUND(E1417+F1417,2)</f>
        <v>242425.67</v>
      </c>
    </row>
    <row r="1418" customFormat="false" ht="15" hidden="false" customHeight="false" outlineLevel="0" collapsed="false">
      <c r="A1418" s="14" t="s">
        <v>21</v>
      </c>
      <c r="B1418" s="14" t="n">
        <v>2024</v>
      </c>
      <c r="C1418" s="14" t="n">
        <v>3</v>
      </c>
      <c r="D1418" s="14" t="s">
        <v>52</v>
      </c>
      <c r="E1418" s="15" t="n">
        <v>185170.92</v>
      </c>
      <c r="F1418" s="15" t="n">
        <v>84382.55</v>
      </c>
      <c r="G1418" s="16" t="n">
        <f aca="false">ROUND(E1418+F1418,2)</f>
        <v>269553.47</v>
      </c>
    </row>
    <row r="1419" customFormat="false" ht="15" hidden="false" customHeight="false" outlineLevel="0" collapsed="false">
      <c r="A1419" s="14" t="s">
        <v>21</v>
      </c>
      <c r="B1419" s="14" t="n">
        <v>2024</v>
      </c>
      <c r="C1419" s="14" t="n">
        <v>4</v>
      </c>
      <c r="D1419" s="14" t="s">
        <v>53</v>
      </c>
      <c r="E1419" s="15" t="n">
        <v>197328.11</v>
      </c>
      <c r="F1419" s="15" t="n">
        <v>100699.43</v>
      </c>
      <c r="G1419" s="16" t="n">
        <f aca="false">ROUND(E1419+F1419,2)</f>
        <v>298027.54</v>
      </c>
    </row>
    <row r="1420" customFormat="false" ht="15" hidden="false" customHeight="false" outlineLevel="0" collapsed="false">
      <c r="A1420" s="14" t="s">
        <v>21</v>
      </c>
      <c r="B1420" s="14" t="n">
        <v>2024</v>
      </c>
      <c r="C1420" s="14" t="n">
        <v>5</v>
      </c>
      <c r="D1420" s="14" t="s">
        <v>54</v>
      </c>
      <c r="E1420" s="15" t="n">
        <v>196547.44</v>
      </c>
      <c r="F1420" s="15" t="n">
        <v>91561.1</v>
      </c>
      <c r="G1420" s="16" t="n">
        <f aca="false">ROUND(E1420+F1420,2)</f>
        <v>288108.54</v>
      </c>
    </row>
    <row r="1421" customFormat="false" ht="15" hidden="false" customHeight="false" outlineLevel="0" collapsed="false">
      <c r="A1421" s="14" t="s">
        <v>21</v>
      </c>
      <c r="B1421" s="14" t="n">
        <v>2024</v>
      </c>
      <c r="C1421" s="14" t="n">
        <v>6</v>
      </c>
      <c r="D1421" s="14" t="s">
        <v>55</v>
      </c>
      <c r="E1421" s="15" t="n">
        <v>116266.44</v>
      </c>
      <c r="F1421" s="15" t="n">
        <v>54081.98</v>
      </c>
      <c r="G1421" s="16" t="n">
        <f aca="false">ROUND(E1421+F1421,2)</f>
        <v>170348.42</v>
      </c>
    </row>
    <row r="1422" customFormat="false" ht="15" hidden="false" customHeight="false" outlineLevel="0" collapsed="false">
      <c r="A1422" s="14" t="s">
        <v>21</v>
      </c>
      <c r="B1422" s="14" t="n">
        <v>2024</v>
      </c>
      <c r="C1422" s="14" t="n">
        <v>7</v>
      </c>
      <c r="D1422" s="14" t="s">
        <v>56</v>
      </c>
      <c r="E1422" s="15" t="n">
        <v>146311.48</v>
      </c>
      <c r="F1422" s="15" t="n">
        <v>74860.36</v>
      </c>
      <c r="G1422" s="16" t="n">
        <f aca="false">ROUND(E1422+F1422,2)</f>
        <v>221171.84</v>
      </c>
    </row>
    <row r="1423" customFormat="false" ht="15" hidden="false" customHeight="false" outlineLevel="0" collapsed="false">
      <c r="A1423" s="14" t="s">
        <v>21</v>
      </c>
      <c r="B1423" s="14" t="n">
        <v>2024</v>
      </c>
      <c r="C1423" s="14" t="n">
        <v>8</v>
      </c>
      <c r="D1423" s="14" t="s">
        <v>57</v>
      </c>
      <c r="E1423" s="15" t="n">
        <v>209283.35</v>
      </c>
      <c r="F1423" s="15" t="n">
        <v>93799.11</v>
      </c>
      <c r="G1423" s="16" t="n">
        <f aca="false">ROUND(E1423+F1423,2)</f>
        <v>303082.46</v>
      </c>
    </row>
    <row r="1424" customFormat="false" ht="15" hidden="false" customHeight="false" outlineLevel="0" collapsed="false">
      <c r="A1424" s="14" t="s">
        <v>21</v>
      </c>
      <c r="B1424" s="14" t="n">
        <v>2024</v>
      </c>
      <c r="C1424" s="14" t="n">
        <v>9</v>
      </c>
      <c r="D1424" s="14" t="s">
        <v>58</v>
      </c>
      <c r="E1424" s="15" t="n">
        <v>208058.04</v>
      </c>
      <c r="F1424" s="15" t="n">
        <v>104229.7</v>
      </c>
      <c r="G1424" s="16" t="n">
        <f aca="false">ROUND(E1424+F1424,2)</f>
        <v>312287.74</v>
      </c>
    </row>
    <row r="1425" customFormat="false" ht="15" hidden="false" customHeight="false" outlineLevel="0" collapsed="false">
      <c r="A1425" s="14" t="s">
        <v>21</v>
      </c>
      <c r="B1425" s="14" t="n">
        <v>2024</v>
      </c>
      <c r="C1425" s="14" t="n">
        <v>10</v>
      </c>
      <c r="D1425" s="14" t="s">
        <v>59</v>
      </c>
      <c r="E1425" s="15" t="n">
        <v>221490.79</v>
      </c>
      <c r="F1425" s="15" t="n">
        <v>107396.47</v>
      </c>
      <c r="G1425" s="16" t="n">
        <f aca="false">ROUND(E1425+F1425,2)</f>
        <v>328887.26</v>
      </c>
    </row>
    <row r="1426" customFormat="false" ht="15" hidden="false" customHeight="false" outlineLevel="0" collapsed="false">
      <c r="A1426" s="14" t="s">
        <v>21</v>
      </c>
      <c r="B1426" s="14" t="n">
        <v>2024</v>
      </c>
      <c r="C1426" s="14" t="n">
        <v>11</v>
      </c>
      <c r="D1426" s="14" t="s">
        <v>60</v>
      </c>
      <c r="E1426" s="15" t="n">
        <v>197090.2</v>
      </c>
      <c r="F1426" s="15" t="n">
        <v>90999.26</v>
      </c>
      <c r="G1426" s="16" t="n">
        <f aca="false">ROUND(E1426+F1426,2)</f>
        <v>288089.46</v>
      </c>
    </row>
    <row r="1427" customFormat="false" ht="15" hidden="false" customHeight="false" outlineLevel="0" collapsed="false">
      <c r="A1427" s="14" t="s">
        <v>21</v>
      </c>
      <c r="B1427" s="14" t="n">
        <v>2024</v>
      </c>
      <c r="C1427" s="14" t="n">
        <v>12</v>
      </c>
      <c r="D1427" s="14" t="s">
        <v>61</v>
      </c>
      <c r="E1427" s="15" t="n">
        <v>187231.96</v>
      </c>
      <c r="F1427" s="15" t="n">
        <v>95141.6</v>
      </c>
      <c r="G1427" s="16" t="n">
        <f aca="false">ROUND(E1427+F1427,2)</f>
        <v>282373.56</v>
      </c>
    </row>
    <row r="1428" customFormat="false" ht="15" hidden="false" customHeight="false" outlineLevel="0" collapsed="false">
      <c r="A1428" s="14" t="s">
        <v>21</v>
      </c>
      <c r="B1428" s="14" t="n">
        <v>2025</v>
      </c>
      <c r="C1428" s="14" t="n">
        <v>1</v>
      </c>
      <c r="D1428" s="14" t="s">
        <v>50</v>
      </c>
      <c r="E1428" s="15" t="n">
        <v>220741.73</v>
      </c>
      <c r="F1428" s="15" t="n">
        <v>99348.18</v>
      </c>
      <c r="G1428" s="16" t="n">
        <f aca="false">ROUND(E1428+F1428,2)</f>
        <v>320089.91</v>
      </c>
    </row>
    <row r="1429" customFormat="false" ht="15" hidden="false" customHeight="false" outlineLevel="0" collapsed="false">
      <c r="A1429" s="14" t="s">
        <v>21</v>
      </c>
      <c r="B1429" s="14" t="n">
        <v>2025</v>
      </c>
      <c r="C1429" s="14" t="n">
        <v>2</v>
      </c>
      <c r="D1429" s="14" t="s">
        <v>51</v>
      </c>
      <c r="E1429" s="15" t="n">
        <v>187266.55</v>
      </c>
      <c r="F1429" s="15" t="n">
        <v>76608.51</v>
      </c>
      <c r="G1429" s="16" t="n">
        <f aca="false">ROUND(E1429+F1429,2)</f>
        <v>263875.06</v>
      </c>
    </row>
    <row r="1430" customFormat="false" ht="15" hidden="false" customHeight="false" outlineLevel="0" collapsed="false">
      <c r="A1430" s="14" t="s">
        <v>21</v>
      </c>
      <c r="B1430" s="14" t="n">
        <v>2025</v>
      </c>
      <c r="C1430" s="14" t="n">
        <v>3</v>
      </c>
      <c r="D1430" s="14" t="s">
        <v>52</v>
      </c>
      <c r="E1430" s="15" t="n">
        <v>256401.68</v>
      </c>
      <c r="F1430" s="15" t="n">
        <v>125727.83</v>
      </c>
      <c r="G1430" s="16" t="n">
        <f aca="false">ROUND(E1430+F1430,2)</f>
        <v>382129.51</v>
      </c>
    </row>
    <row r="1431" customFormat="false" ht="15" hidden="false" customHeight="false" outlineLevel="0" collapsed="false">
      <c r="A1431" s="14" t="s">
        <v>21</v>
      </c>
      <c r="B1431" s="14" t="n">
        <v>2025</v>
      </c>
      <c r="C1431" s="14" t="n">
        <v>4</v>
      </c>
      <c r="D1431" s="14" t="s">
        <v>53</v>
      </c>
      <c r="E1431" s="15" t="n">
        <v>244106.64</v>
      </c>
      <c r="F1431" s="15" t="n">
        <v>127596.23</v>
      </c>
      <c r="G1431" s="16" t="n">
        <f aca="false">ROUND(E1431+F1431,2)</f>
        <v>371702.87</v>
      </c>
    </row>
    <row r="1432" customFormat="false" ht="15" hidden="false" customHeight="false" outlineLevel="0" collapsed="false">
      <c r="A1432" s="14" t="s">
        <v>21</v>
      </c>
      <c r="B1432" s="14" t="n">
        <v>2025</v>
      </c>
      <c r="C1432" s="14" t="n">
        <v>5</v>
      </c>
      <c r="D1432" s="14" t="s">
        <v>54</v>
      </c>
      <c r="E1432" s="15" t="n">
        <v>219319.68</v>
      </c>
      <c r="F1432" s="15" t="n">
        <v>101088.49</v>
      </c>
      <c r="G1432" s="16" t="n">
        <f aca="false">ROUND(E1432+F1432,2)</f>
        <v>320408.17</v>
      </c>
    </row>
    <row r="1433" customFormat="false" ht="15" hidden="false" customHeight="false" outlineLevel="0" collapsed="false">
      <c r="A1433" s="14" t="s">
        <v>21</v>
      </c>
      <c r="B1433" s="14" t="n">
        <v>2025</v>
      </c>
      <c r="C1433" s="14" t="n">
        <v>6</v>
      </c>
      <c r="D1433" s="14" t="s">
        <v>55</v>
      </c>
      <c r="E1433" s="15" t="n">
        <v>240292.35</v>
      </c>
      <c r="F1433" s="15" t="n">
        <v>172008.34</v>
      </c>
      <c r="G1433" s="16" t="n">
        <f aca="false">ROUND(E1433+F1433,2)</f>
        <v>412300.69</v>
      </c>
    </row>
    <row r="1434" customFormat="false" ht="15" hidden="false" customHeight="false" outlineLevel="0" collapsed="false">
      <c r="A1434" s="14" t="s">
        <v>21</v>
      </c>
      <c r="B1434" s="14" t="n">
        <v>2025</v>
      </c>
      <c r="C1434" s="14" t="n">
        <v>7</v>
      </c>
      <c r="D1434" s="14" t="s">
        <v>56</v>
      </c>
      <c r="E1434" s="15" t="n">
        <v>251787.22</v>
      </c>
      <c r="F1434" s="15" t="n">
        <v>131353.58</v>
      </c>
      <c r="G1434" s="16" t="n">
        <f aca="false">ROUND(E1434+F1434,2)</f>
        <v>383140.8</v>
      </c>
    </row>
    <row r="1435" customFormat="false" ht="15" hidden="false" customHeight="false" outlineLevel="0" collapsed="false">
      <c r="A1435" s="14" t="s">
        <v>21</v>
      </c>
      <c r="B1435" s="14" t="n">
        <v>2025</v>
      </c>
      <c r="C1435" s="14" t="n">
        <v>8</v>
      </c>
      <c r="D1435" s="14" t="s">
        <v>57</v>
      </c>
      <c r="E1435" s="15" t="n">
        <v>234355.29</v>
      </c>
      <c r="F1435" s="15" t="n">
        <v>133862.89</v>
      </c>
      <c r="G1435" s="16" t="n">
        <f aca="false">ROUND(E1435+F1435,2)</f>
        <v>368218.18</v>
      </c>
    </row>
    <row r="1436" customFormat="false" ht="15" hidden="false" customHeight="false" outlineLevel="0" collapsed="false">
      <c r="A1436" s="14" t="s">
        <v>21</v>
      </c>
      <c r="B1436" s="14" t="n">
        <v>2025</v>
      </c>
      <c r="C1436" s="14" t="n">
        <v>9</v>
      </c>
      <c r="D1436" s="14" t="s">
        <v>58</v>
      </c>
      <c r="E1436" s="15" t="n">
        <v>226593.16</v>
      </c>
      <c r="F1436" s="15" t="n">
        <v>136917.7</v>
      </c>
      <c r="G1436" s="16" t="n">
        <f aca="false">ROUND(E1436+F1436,2)</f>
        <v>363510.86</v>
      </c>
    </row>
    <row r="1437" customFormat="false" ht="15" hidden="false" customHeight="false" outlineLevel="0" collapsed="false">
      <c r="A1437" s="14" t="s">
        <v>21</v>
      </c>
      <c r="B1437" s="14" t="n">
        <v>2025</v>
      </c>
      <c r="C1437" s="14" t="n">
        <v>10</v>
      </c>
      <c r="D1437" s="14" t="s">
        <v>59</v>
      </c>
      <c r="E1437" s="15" t="n">
        <v>212491.13</v>
      </c>
      <c r="F1437" s="15" t="n">
        <v>122908.53</v>
      </c>
      <c r="G1437" s="16" t="n">
        <f aca="false">ROUND(E1437+F1437,2)</f>
        <v>335399.66</v>
      </c>
    </row>
    <row r="1438" customFormat="false" ht="15" hidden="false" customHeight="false" outlineLevel="0" collapsed="false">
      <c r="A1438" s="14" t="s">
        <v>21</v>
      </c>
      <c r="B1438" s="14" t="n">
        <v>2025</v>
      </c>
      <c r="C1438" s="14" t="n">
        <v>11</v>
      </c>
      <c r="D1438" s="14" t="s">
        <v>60</v>
      </c>
      <c r="E1438" s="15" t="n">
        <v>161662.87</v>
      </c>
      <c r="F1438" s="15" t="n">
        <v>85753.3</v>
      </c>
      <c r="G1438" s="16" t="n">
        <f aca="false">ROUND(E1438+F1438,2)</f>
        <v>247416.17</v>
      </c>
    </row>
    <row r="1439" customFormat="false" ht="15" hidden="false" customHeight="false" outlineLevel="0" collapsed="false">
      <c r="A1439" s="14" t="s">
        <v>21</v>
      </c>
      <c r="B1439" s="14" t="n">
        <v>2025</v>
      </c>
      <c r="C1439" s="14" t="n">
        <v>12</v>
      </c>
      <c r="D1439" s="14" t="s">
        <v>61</v>
      </c>
      <c r="E1439" s="15" t="n">
        <v>221013.36</v>
      </c>
      <c r="F1439" s="15" t="n">
        <v>155767.48</v>
      </c>
      <c r="G1439" s="16" t="n">
        <f aca="false">ROUND(E1439+F1439,2)</f>
        <v>376780.84</v>
      </c>
    </row>
    <row r="1440" customFormat="false" ht="15" hidden="false" customHeight="false" outlineLevel="0" collapsed="false">
      <c r="A1440" s="14" t="s">
        <v>21</v>
      </c>
      <c r="B1440" s="14" t="n">
        <v>2026</v>
      </c>
      <c r="C1440" s="14" t="n">
        <v>1</v>
      </c>
      <c r="D1440" s="14" t="s">
        <v>50</v>
      </c>
      <c r="E1440" s="15" t="n">
        <v>200653.06</v>
      </c>
      <c r="F1440" s="15" t="n">
        <v>111542.75</v>
      </c>
      <c r="G1440" s="16" t="n">
        <f aca="false">ROUND(E1440+F1440,2)</f>
        <v>312195.81</v>
      </c>
    </row>
    <row r="1441" customFormat="false" ht="15" hidden="false" customHeight="false" outlineLevel="0" collapsed="false">
      <c r="A1441" s="14" t="s">
        <v>21</v>
      </c>
      <c r="B1441" s="14" t="n">
        <v>2026</v>
      </c>
      <c r="C1441" s="14" t="n">
        <v>2</v>
      </c>
      <c r="D1441" s="14" t="s">
        <v>51</v>
      </c>
      <c r="E1441" s="15" t="n">
        <v>158543.21</v>
      </c>
      <c r="F1441" s="15" t="n">
        <v>85601.42</v>
      </c>
      <c r="G1441" s="16" t="n">
        <f aca="false">ROUND(E1441+F1441,2)</f>
        <v>244144.63</v>
      </c>
    </row>
    <row r="1442" customFormat="false" ht="15" hidden="false" customHeight="false" outlineLevel="0" collapsed="false">
      <c r="A1442" s="14" t="s">
        <v>21</v>
      </c>
      <c r="B1442" s="14" t="n">
        <v>2026</v>
      </c>
      <c r="C1442" s="14" t="n">
        <v>3</v>
      </c>
      <c r="D1442" s="14" t="s">
        <v>52</v>
      </c>
      <c r="E1442" s="15" t="n">
        <v>239048.59</v>
      </c>
      <c r="F1442" s="15" t="n">
        <v>144194.07</v>
      </c>
      <c r="G1442" s="16" t="n">
        <f aca="false">ROUND(E1442+F1442,2)</f>
        <v>383242.66</v>
      </c>
    </row>
    <row r="1443" customFormat="false" ht="15" hidden="false" customHeight="false" outlineLevel="0" collapsed="false">
      <c r="A1443" s="14" t="s">
        <v>21</v>
      </c>
      <c r="B1443" s="14" t="n">
        <v>2026</v>
      </c>
      <c r="C1443" s="14" t="n">
        <v>4</v>
      </c>
      <c r="D1443" s="14" t="s">
        <v>53</v>
      </c>
      <c r="E1443" s="15" t="n">
        <v>229696.39</v>
      </c>
      <c r="F1443" s="15" t="n">
        <v>140890.99</v>
      </c>
      <c r="G1443" s="16" t="n">
        <f aca="false">ROUND(E1443+F1443,2)</f>
        <v>370587.38</v>
      </c>
    </row>
    <row r="1444" customFormat="false" ht="15" hidden="false" customHeight="false" outlineLevel="0" collapsed="false">
      <c r="A1444" s="14" t="s">
        <v>21</v>
      </c>
      <c r="B1444" s="14" t="n">
        <v>2026</v>
      </c>
      <c r="C1444" s="14" t="n">
        <v>5</v>
      </c>
      <c r="D1444" s="14" t="s">
        <v>54</v>
      </c>
      <c r="E1444" s="15" t="n">
        <v>230043.21</v>
      </c>
      <c r="F1444" s="15" t="n">
        <v>116471.5</v>
      </c>
      <c r="G1444" s="16" t="n">
        <f aca="false">ROUND(E1444+F1444,2)</f>
        <v>346514.71</v>
      </c>
    </row>
    <row r="1445" customFormat="false" ht="15" hidden="false" customHeight="false" outlineLevel="0" collapsed="false">
      <c r="A1445" s="14" t="s">
        <v>21</v>
      </c>
      <c r="B1445" s="14" t="n">
        <v>2026</v>
      </c>
      <c r="C1445" s="14" t="n">
        <v>6</v>
      </c>
      <c r="D1445" s="14" t="s">
        <v>55</v>
      </c>
      <c r="E1445" s="15" t="n">
        <v>228281.59</v>
      </c>
      <c r="F1445" s="15" t="n">
        <v>145415.16</v>
      </c>
      <c r="G1445" s="16" t="n">
        <f aca="false">ROUND(E1445+F1445,2)</f>
        <v>373696.75</v>
      </c>
    </row>
    <row r="1446" customFormat="false" ht="15" hidden="false" customHeight="false" outlineLevel="0" collapsed="false">
      <c r="A1446" s="14" t="s">
        <v>21</v>
      </c>
      <c r="B1446" s="14" t="n">
        <v>2026</v>
      </c>
      <c r="C1446" s="14" t="n">
        <v>7</v>
      </c>
      <c r="D1446" s="14" t="s">
        <v>56</v>
      </c>
      <c r="E1446" s="15" t="n">
        <v>237882.27</v>
      </c>
      <c r="F1446" s="15" t="n">
        <v>116928.25</v>
      </c>
      <c r="G1446" s="16" t="n">
        <f aca="false">ROUND(E1446+F1446,2)</f>
        <v>354810.52</v>
      </c>
    </row>
    <row r="1447" customFormat="false" ht="15" hidden="false" customHeight="false" outlineLevel="0" collapsed="false">
      <c r="A1447" s="14" t="s">
        <v>19</v>
      </c>
      <c r="B1447" s="14" t="n">
        <v>2023</v>
      </c>
      <c r="C1447" s="14" t="n">
        <v>1</v>
      </c>
      <c r="D1447" s="14" t="s">
        <v>50</v>
      </c>
      <c r="E1447" s="15" t="n">
        <v>0</v>
      </c>
      <c r="F1447" s="15" t="n">
        <v>0</v>
      </c>
      <c r="G1447" s="16" t="n">
        <f aca="false">ROUND(E1447+F1447,2)</f>
        <v>0</v>
      </c>
    </row>
    <row r="1448" customFormat="false" ht="15" hidden="false" customHeight="false" outlineLevel="0" collapsed="false">
      <c r="A1448" s="14" t="s">
        <v>19</v>
      </c>
      <c r="B1448" s="14" t="n">
        <v>2023</v>
      </c>
      <c r="C1448" s="14" t="n">
        <v>2</v>
      </c>
      <c r="D1448" s="14" t="s">
        <v>51</v>
      </c>
      <c r="E1448" s="15" t="n">
        <v>0</v>
      </c>
      <c r="F1448" s="15" t="n">
        <v>0</v>
      </c>
      <c r="G1448" s="16" t="n">
        <f aca="false">ROUND(E1448+F1448,2)</f>
        <v>0</v>
      </c>
    </row>
    <row r="1449" customFormat="false" ht="15" hidden="false" customHeight="false" outlineLevel="0" collapsed="false">
      <c r="A1449" s="14" t="s">
        <v>19</v>
      </c>
      <c r="B1449" s="14" t="n">
        <v>2023</v>
      </c>
      <c r="C1449" s="14" t="n">
        <v>3</v>
      </c>
      <c r="D1449" s="14" t="s">
        <v>52</v>
      </c>
      <c r="E1449" s="15" t="n">
        <v>0</v>
      </c>
      <c r="F1449" s="15" t="n">
        <v>0</v>
      </c>
      <c r="G1449" s="16" t="n">
        <f aca="false">ROUND(E1449+F1449,2)</f>
        <v>0</v>
      </c>
    </row>
    <row r="1450" customFormat="false" ht="15" hidden="false" customHeight="false" outlineLevel="0" collapsed="false">
      <c r="A1450" s="14" t="s">
        <v>19</v>
      </c>
      <c r="B1450" s="14" t="n">
        <v>2023</v>
      </c>
      <c r="C1450" s="14" t="n">
        <v>4</v>
      </c>
      <c r="D1450" s="14" t="s">
        <v>53</v>
      </c>
      <c r="E1450" s="15" t="n">
        <v>0</v>
      </c>
      <c r="F1450" s="15" t="n">
        <v>0</v>
      </c>
      <c r="G1450" s="16" t="n">
        <f aca="false">ROUND(E1450+F1450,2)</f>
        <v>0</v>
      </c>
    </row>
    <row r="1451" customFormat="false" ht="15" hidden="false" customHeight="false" outlineLevel="0" collapsed="false">
      <c r="A1451" s="14" t="s">
        <v>19</v>
      </c>
      <c r="B1451" s="14" t="n">
        <v>2023</v>
      </c>
      <c r="C1451" s="14" t="n">
        <v>5</v>
      </c>
      <c r="D1451" s="14" t="s">
        <v>54</v>
      </c>
      <c r="E1451" s="15" t="n">
        <v>0</v>
      </c>
      <c r="F1451" s="15" t="n">
        <v>0</v>
      </c>
      <c r="G1451" s="16" t="n">
        <f aca="false">ROUND(E1451+F1451,2)</f>
        <v>0</v>
      </c>
    </row>
    <row r="1452" customFormat="false" ht="15" hidden="false" customHeight="false" outlineLevel="0" collapsed="false">
      <c r="A1452" s="14" t="s">
        <v>19</v>
      </c>
      <c r="B1452" s="14" t="n">
        <v>2023</v>
      </c>
      <c r="C1452" s="14" t="n">
        <v>6</v>
      </c>
      <c r="D1452" s="14" t="s">
        <v>55</v>
      </c>
      <c r="E1452" s="15" t="n">
        <v>0</v>
      </c>
      <c r="F1452" s="15" t="n">
        <v>0</v>
      </c>
      <c r="G1452" s="16" t="n">
        <f aca="false">ROUND(E1452+F1452,2)</f>
        <v>0</v>
      </c>
    </row>
    <row r="1453" customFormat="false" ht="15" hidden="false" customHeight="false" outlineLevel="0" collapsed="false">
      <c r="A1453" s="14" t="s">
        <v>19</v>
      </c>
      <c r="B1453" s="14" t="n">
        <v>2023</v>
      </c>
      <c r="C1453" s="14" t="n">
        <v>7</v>
      </c>
      <c r="D1453" s="14" t="s">
        <v>56</v>
      </c>
      <c r="E1453" s="15" t="n">
        <v>0</v>
      </c>
      <c r="F1453" s="15" t="n">
        <v>0</v>
      </c>
      <c r="G1453" s="16" t="n">
        <f aca="false">ROUND(E1453+F1453,2)</f>
        <v>0</v>
      </c>
    </row>
    <row r="1454" customFormat="false" ht="15" hidden="false" customHeight="false" outlineLevel="0" collapsed="false">
      <c r="A1454" s="14" t="s">
        <v>19</v>
      </c>
      <c r="B1454" s="14" t="n">
        <v>2023</v>
      </c>
      <c r="C1454" s="14" t="n">
        <v>8</v>
      </c>
      <c r="D1454" s="14" t="s">
        <v>57</v>
      </c>
      <c r="E1454" s="15" t="n">
        <v>0</v>
      </c>
      <c r="F1454" s="15" t="n">
        <v>0</v>
      </c>
      <c r="G1454" s="16" t="n">
        <f aca="false">ROUND(E1454+F1454,2)</f>
        <v>0</v>
      </c>
    </row>
    <row r="1455" customFormat="false" ht="15" hidden="false" customHeight="false" outlineLevel="0" collapsed="false">
      <c r="A1455" s="14" t="s">
        <v>19</v>
      </c>
      <c r="B1455" s="14" t="n">
        <v>2023</v>
      </c>
      <c r="C1455" s="14" t="n">
        <v>9</v>
      </c>
      <c r="D1455" s="14" t="s">
        <v>58</v>
      </c>
      <c r="E1455" s="15" t="n">
        <v>0</v>
      </c>
      <c r="F1455" s="15" t="n">
        <v>0</v>
      </c>
      <c r="G1455" s="16" t="n">
        <f aca="false">ROUND(E1455+F1455,2)</f>
        <v>0</v>
      </c>
    </row>
    <row r="1456" customFormat="false" ht="15" hidden="false" customHeight="false" outlineLevel="0" collapsed="false">
      <c r="A1456" s="14" t="s">
        <v>19</v>
      </c>
      <c r="B1456" s="14" t="n">
        <v>2023</v>
      </c>
      <c r="C1456" s="14" t="n">
        <v>10</v>
      </c>
      <c r="D1456" s="14" t="s">
        <v>59</v>
      </c>
      <c r="E1456" s="15" t="n">
        <v>0</v>
      </c>
      <c r="F1456" s="15" t="n">
        <v>0</v>
      </c>
      <c r="G1456" s="16" t="n">
        <f aca="false">ROUND(E1456+F1456,2)</f>
        <v>0</v>
      </c>
    </row>
    <row r="1457" customFormat="false" ht="15" hidden="false" customHeight="false" outlineLevel="0" collapsed="false">
      <c r="A1457" s="14" t="s">
        <v>19</v>
      </c>
      <c r="B1457" s="14" t="n">
        <v>2023</v>
      </c>
      <c r="C1457" s="14" t="n">
        <v>11</v>
      </c>
      <c r="D1457" s="14" t="s">
        <v>60</v>
      </c>
      <c r="E1457" s="15" t="n">
        <v>261528.54</v>
      </c>
      <c r="F1457" s="15" t="n">
        <v>142636.2</v>
      </c>
      <c r="G1457" s="16" t="n">
        <f aca="false">ROUND(E1457+F1457,2)</f>
        <v>404164.74</v>
      </c>
    </row>
    <row r="1458" customFormat="false" ht="15" hidden="false" customHeight="false" outlineLevel="0" collapsed="false">
      <c r="A1458" s="14" t="s">
        <v>19</v>
      </c>
      <c r="B1458" s="14" t="n">
        <v>2023</v>
      </c>
      <c r="C1458" s="14" t="n">
        <v>12</v>
      </c>
      <c r="D1458" s="14" t="s">
        <v>61</v>
      </c>
      <c r="E1458" s="15" t="n">
        <v>194050.91</v>
      </c>
      <c r="F1458" s="15" t="n">
        <v>90975.55</v>
      </c>
      <c r="G1458" s="16" t="n">
        <f aca="false">ROUND(E1458+F1458,2)</f>
        <v>285026.46</v>
      </c>
    </row>
    <row r="1459" customFormat="false" ht="15" hidden="false" customHeight="false" outlineLevel="0" collapsed="false">
      <c r="A1459" s="14" t="s">
        <v>19</v>
      </c>
      <c r="B1459" s="14" t="n">
        <v>2024</v>
      </c>
      <c r="C1459" s="14" t="n">
        <v>1</v>
      </c>
      <c r="D1459" s="14" t="s">
        <v>50</v>
      </c>
      <c r="E1459" s="15" t="n">
        <v>223427.3</v>
      </c>
      <c r="F1459" s="15" t="n">
        <v>92862.21</v>
      </c>
      <c r="G1459" s="16" t="n">
        <f aca="false">ROUND(E1459+F1459,2)</f>
        <v>316289.51</v>
      </c>
    </row>
    <row r="1460" customFormat="false" ht="15" hidden="false" customHeight="false" outlineLevel="0" collapsed="false">
      <c r="A1460" s="14" t="s">
        <v>19</v>
      </c>
      <c r="B1460" s="14" t="n">
        <v>2024</v>
      </c>
      <c r="C1460" s="14" t="n">
        <v>2</v>
      </c>
      <c r="D1460" s="14" t="s">
        <v>51</v>
      </c>
      <c r="E1460" s="15" t="n">
        <v>275367.22</v>
      </c>
      <c r="F1460" s="15" t="n">
        <v>122022.57</v>
      </c>
      <c r="G1460" s="16" t="n">
        <f aca="false">ROUND(E1460+F1460,2)</f>
        <v>397389.79</v>
      </c>
    </row>
    <row r="1461" customFormat="false" ht="15" hidden="false" customHeight="false" outlineLevel="0" collapsed="false">
      <c r="A1461" s="14" t="s">
        <v>19</v>
      </c>
      <c r="B1461" s="14" t="n">
        <v>2024</v>
      </c>
      <c r="C1461" s="14" t="n">
        <v>3</v>
      </c>
      <c r="D1461" s="14" t="s">
        <v>52</v>
      </c>
      <c r="E1461" s="15" t="n">
        <v>356132.12</v>
      </c>
      <c r="F1461" s="15" t="n">
        <v>128016.26</v>
      </c>
      <c r="G1461" s="16" t="n">
        <f aca="false">ROUND(E1461+F1461,2)</f>
        <v>484148.38</v>
      </c>
    </row>
    <row r="1462" customFormat="false" ht="15" hidden="false" customHeight="false" outlineLevel="0" collapsed="false">
      <c r="A1462" s="14" t="s">
        <v>19</v>
      </c>
      <c r="B1462" s="14" t="n">
        <v>2024</v>
      </c>
      <c r="C1462" s="14" t="n">
        <v>4</v>
      </c>
      <c r="D1462" s="14" t="s">
        <v>53</v>
      </c>
      <c r="E1462" s="15" t="n">
        <v>337315.29</v>
      </c>
      <c r="F1462" s="15" t="n">
        <v>155575.96</v>
      </c>
      <c r="G1462" s="16" t="n">
        <f aca="false">ROUND(E1462+F1462,2)</f>
        <v>492891.25</v>
      </c>
    </row>
    <row r="1463" customFormat="false" ht="15" hidden="false" customHeight="false" outlineLevel="0" collapsed="false">
      <c r="A1463" s="14" t="s">
        <v>19</v>
      </c>
      <c r="B1463" s="14" t="n">
        <v>2024</v>
      </c>
      <c r="C1463" s="14" t="n">
        <v>5</v>
      </c>
      <c r="D1463" s="14" t="s">
        <v>54</v>
      </c>
      <c r="E1463" s="15" t="n">
        <v>322756.03</v>
      </c>
      <c r="F1463" s="15" t="n">
        <v>155741.58</v>
      </c>
      <c r="G1463" s="16" t="n">
        <f aca="false">ROUND(E1463+F1463,2)</f>
        <v>478497.61</v>
      </c>
    </row>
    <row r="1464" customFormat="false" ht="15" hidden="false" customHeight="false" outlineLevel="0" collapsed="false">
      <c r="A1464" s="14" t="s">
        <v>19</v>
      </c>
      <c r="B1464" s="14" t="n">
        <v>2024</v>
      </c>
      <c r="C1464" s="14" t="n">
        <v>6</v>
      </c>
      <c r="D1464" s="14" t="s">
        <v>55</v>
      </c>
      <c r="E1464" s="15" t="n">
        <v>140808.25</v>
      </c>
      <c r="F1464" s="15" t="n">
        <v>68029.86</v>
      </c>
      <c r="G1464" s="16" t="n">
        <f aca="false">ROUND(E1464+F1464,2)</f>
        <v>208838.11</v>
      </c>
    </row>
    <row r="1465" customFormat="false" ht="15" hidden="false" customHeight="false" outlineLevel="0" collapsed="false">
      <c r="A1465" s="14" t="s">
        <v>19</v>
      </c>
      <c r="B1465" s="14" t="n">
        <v>2024</v>
      </c>
      <c r="C1465" s="14" t="n">
        <v>7</v>
      </c>
      <c r="D1465" s="14" t="s">
        <v>56</v>
      </c>
      <c r="E1465" s="15" t="n">
        <v>287619.67</v>
      </c>
      <c r="F1465" s="15" t="n">
        <v>157243.37</v>
      </c>
      <c r="G1465" s="16" t="n">
        <f aca="false">ROUND(E1465+F1465,2)</f>
        <v>444863.04</v>
      </c>
    </row>
    <row r="1466" customFormat="false" ht="15" hidden="false" customHeight="false" outlineLevel="0" collapsed="false">
      <c r="A1466" s="14" t="s">
        <v>19</v>
      </c>
      <c r="B1466" s="14" t="n">
        <v>2024</v>
      </c>
      <c r="C1466" s="14" t="n">
        <v>8</v>
      </c>
      <c r="D1466" s="14" t="s">
        <v>57</v>
      </c>
      <c r="E1466" s="15" t="n">
        <v>317875.63</v>
      </c>
      <c r="F1466" s="15" t="n">
        <v>187256.02</v>
      </c>
      <c r="G1466" s="16" t="n">
        <f aca="false">ROUND(E1466+F1466,2)</f>
        <v>505131.65</v>
      </c>
    </row>
    <row r="1467" customFormat="false" ht="15" hidden="false" customHeight="false" outlineLevel="0" collapsed="false">
      <c r="A1467" s="14" t="s">
        <v>19</v>
      </c>
      <c r="B1467" s="14" t="n">
        <v>2024</v>
      </c>
      <c r="C1467" s="14" t="n">
        <v>9</v>
      </c>
      <c r="D1467" s="14" t="s">
        <v>58</v>
      </c>
      <c r="E1467" s="15" t="n">
        <v>301363.13</v>
      </c>
      <c r="F1467" s="15" t="n">
        <v>143135.99</v>
      </c>
      <c r="G1467" s="16" t="n">
        <f aca="false">ROUND(E1467+F1467,2)</f>
        <v>444499.12</v>
      </c>
    </row>
    <row r="1468" customFormat="false" ht="15" hidden="false" customHeight="false" outlineLevel="0" collapsed="false">
      <c r="A1468" s="14" t="s">
        <v>19</v>
      </c>
      <c r="B1468" s="14" t="n">
        <v>2024</v>
      </c>
      <c r="C1468" s="14" t="n">
        <v>10</v>
      </c>
      <c r="D1468" s="14" t="s">
        <v>59</v>
      </c>
      <c r="E1468" s="15" t="n">
        <v>315778.04</v>
      </c>
      <c r="F1468" s="15" t="n">
        <v>134089.8</v>
      </c>
      <c r="G1468" s="16" t="n">
        <f aca="false">ROUND(E1468+F1468,2)</f>
        <v>449867.84</v>
      </c>
    </row>
    <row r="1469" customFormat="false" ht="15" hidden="false" customHeight="false" outlineLevel="0" collapsed="false">
      <c r="A1469" s="14" t="s">
        <v>19</v>
      </c>
      <c r="B1469" s="14" t="n">
        <v>2024</v>
      </c>
      <c r="C1469" s="14" t="n">
        <v>11</v>
      </c>
      <c r="D1469" s="14" t="s">
        <v>60</v>
      </c>
      <c r="E1469" s="15" t="n">
        <v>282121.42</v>
      </c>
      <c r="F1469" s="15" t="n">
        <v>146021.83</v>
      </c>
      <c r="G1469" s="16" t="n">
        <f aca="false">ROUND(E1469+F1469,2)</f>
        <v>428143.25</v>
      </c>
    </row>
    <row r="1470" customFormat="false" ht="15" hidden="false" customHeight="false" outlineLevel="0" collapsed="false">
      <c r="A1470" s="14" t="s">
        <v>19</v>
      </c>
      <c r="B1470" s="14" t="n">
        <v>2024</v>
      </c>
      <c r="C1470" s="14" t="n">
        <v>12</v>
      </c>
      <c r="D1470" s="14" t="s">
        <v>61</v>
      </c>
      <c r="E1470" s="15" t="n">
        <v>273962.91</v>
      </c>
      <c r="F1470" s="15" t="n">
        <v>146977.37</v>
      </c>
      <c r="G1470" s="16" t="n">
        <f aca="false">ROUND(E1470+F1470,2)</f>
        <v>420940.28</v>
      </c>
    </row>
    <row r="1471" customFormat="false" ht="15" hidden="false" customHeight="false" outlineLevel="0" collapsed="false">
      <c r="A1471" s="14" t="s">
        <v>19</v>
      </c>
      <c r="B1471" s="14" t="n">
        <v>2025</v>
      </c>
      <c r="C1471" s="14" t="n">
        <v>1</v>
      </c>
      <c r="D1471" s="14" t="s">
        <v>50</v>
      </c>
      <c r="E1471" s="15" t="n">
        <v>337269.61</v>
      </c>
      <c r="F1471" s="15" t="n">
        <v>161714.26</v>
      </c>
      <c r="G1471" s="16" t="n">
        <f aca="false">ROUND(E1471+F1471,2)</f>
        <v>498983.87</v>
      </c>
    </row>
    <row r="1472" customFormat="false" ht="15" hidden="false" customHeight="false" outlineLevel="0" collapsed="false">
      <c r="A1472" s="14" t="s">
        <v>19</v>
      </c>
      <c r="B1472" s="14" t="n">
        <v>2025</v>
      </c>
      <c r="C1472" s="14" t="n">
        <v>2</v>
      </c>
      <c r="D1472" s="14" t="s">
        <v>51</v>
      </c>
      <c r="E1472" s="15" t="n">
        <v>268364.65</v>
      </c>
      <c r="F1472" s="15" t="n">
        <v>153382.54</v>
      </c>
      <c r="G1472" s="16" t="n">
        <f aca="false">ROUND(E1472+F1472,2)</f>
        <v>421747.19</v>
      </c>
    </row>
    <row r="1473" customFormat="false" ht="15" hidden="false" customHeight="false" outlineLevel="0" collapsed="false">
      <c r="A1473" s="14" t="s">
        <v>19</v>
      </c>
      <c r="B1473" s="14" t="n">
        <v>2025</v>
      </c>
      <c r="C1473" s="14" t="n">
        <v>3</v>
      </c>
      <c r="D1473" s="14" t="s">
        <v>52</v>
      </c>
      <c r="E1473" s="15" t="n">
        <v>314906.16</v>
      </c>
      <c r="F1473" s="15" t="n">
        <v>166249.84</v>
      </c>
      <c r="G1473" s="16" t="n">
        <f aca="false">ROUND(E1473+F1473,2)</f>
        <v>481156</v>
      </c>
    </row>
    <row r="1474" customFormat="false" ht="15" hidden="false" customHeight="false" outlineLevel="0" collapsed="false">
      <c r="A1474" s="14" t="s">
        <v>19</v>
      </c>
      <c r="B1474" s="14" t="n">
        <v>2025</v>
      </c>
      <c r="C1474" s="14" t="n">
        <v>4</v>
      </c>
      <c r="D1474" s="14" t="s">
        <v>53</v>
      </c>
      <c r="E1474" s="15" t="n">
        <v>332648.96</v>
      </c>
      <c r="F1474" s="15" t="n">
        <v>145089.1</v>
      </c>
      <c r="G1474" s="16" t="n">
        <f aca="false">ROUND(E1474+F1474,2)</f>
        <v>477738.06</v>
      </c>
    </row>
    <row r="1475" customFormat="false" ht="15" hidden="false" customHeight="false" outlineLevel="0" collapsed="false">
      <c r="A1475" s="14" t="s">
        <v>19</v>
      </c>
      <c r="B1475" s="14" t="n">
        <v>2025</v>
      </c>
      <c r="C1475" s="14" t="n">
        <v>5</v>
      </c>
      <c r="D1475" s="14" t="s">
        <v>54</v>
      </c>
      <c r="E1475" s="15" t="n">
        <v>373571</v>
      </c>
      <c r="F1475" s="15" t="n">
        <v>161579.88</v>
      </c>
      <c r="G1475" s="16" t="n">
        <f aca="false">ROUND(E1475+F1475,2)</f>
        <v>535150.88</v>
      </c>
    </row>
    <row r="1476" customFormat="false" ht="15" hidden="false" customHeight="false" outlineLevel="0" collapsed="false">
      <c r="A1476" s="14" t="s">
        <v>19</v>
      </c>
      <c r="B1476" s="14" t="n">
        <v>2025</v>
      </c>
      <c r="C1476" s="14" t="n">
        <v>6</v>
      </c>
      <c r="D1476" s="14" t="s">
        <v>55</v>
      </c>
      <c r="E1476" s="15" t="n">
        <v>318265.54</v>
      </c>
      <c r="F1476" s="15" t="n">
        <v>137997.55</v>
      </c>
      <c r="G1476" s="16" t="n">
        <f aca="false">ROUND(E1476+F1476,2)</f>
        <v>456263.09</v>
      </c>
    </row>
    <row r="1477" customFormat="false" ht="15" hidden="false" customHeight="false" outlineLevel="0" collapsed="false">
      <c r="A1477" s="14" t="s">
        <v>19</v>
      </c>
      <c r="B1477" s="14" t="n">
        <v>2025</v>
      </c>
      <c r="C1477" s="14" t="n">
        <v>7</v>
      </c>
      <c r="D1477" s="14" t="s">
        <v>56</v>
      </c>
      <c r="E1477" s="15" t="n">
        <v>357333.25</v>
      </c>
      <c r="F1477" s="15" t="n">
        <v>164181.91</v>
      </c>
      <c r="G1477" s="16" t="n">
        <f aca="false">ROUND(E1477+F1477,2)</f>
        <v>521515.16</v>
      </c>
    </row>
    <row r="1478" customFormat="false" ht="15" hidden="false" customHeight="false" outlineLevel="0" collapsed="false">
      <c r="A1478" s="14" t="s">
        <v>19</v>
      </c>
      <c r="B1478" s="14" t="n">
        <v>2025</v>
      </c>
      <c r="C1478" s="14" t="n">
        <v>8</v>
      </c>
      <c r="D1478" s="14" t="s">
        <v>57</v>
      </c>
      <c r="E1478" s="15" t="n">
        <v>309587.05</v>
      </c>
      <c r="F1478" s="15" t="n">
        <v>145364.64</v>
      </c>
      <c r="G1478" s="16" t="n">
        <f aca="false">ROUND(E1478+F1478,2)</f>
        <v>454951.69</v>
      </c>
    </row>
    <row r="1479" customFormat="false" ht="15" hidden="false" customHeight="false" outlineLevel="0" collapsed="false">
      <c r="A1479" s="14" t="s">
        <v>19</v>
      </c>
      <c r="B1479" s="14" t="n">
        <v>2025</v>
      </c>
      <c r="C1479" s="14" t="n">
        <v>9</v>
      </c>
      <c r="D1479" s="14" t="s">
        <v>58</v>
      </c>
      <c r="E1479" s="15" t="n">
        <v>344448.18</v>
      </c>
      <c r="F1479" s="15" t="n">
        <v>146405.37</v>
      </c>
      <c r="G1479" s="16" t="n">
        <f aca="false">ROUND(E1479+F1479,2)</f>
        <v>490853.55</v>
      </c>
    </row>
    <row r="1480" customFormat="false" ht="15" hidden="false" customHeight="false" outlineLevel="0" collapsed="false">
      <c r="A1480" s="14" t="s">
        <v>19</v>
      </c>
      <c r="B1480" s="14" t="n">
        <v>2025</v>
      </c>
      <c r="C1480" s="14" t="n">
        <v>10</v>
      </c>
      <c r="D1480" s="14" t="s">
        <v>59</v>
      </c>
      <c r="E1480" s="15" t="n">
        <v>329924.48</v>
      </c>
      <c r="F1480" s="15" t="n">
        <v>164768.94</v>
      </c>
      <c r="G1480" s="16" t="n">
        <f aca="false">ROUND(E1480+F1480,2)</f>
        <v>494693.42</v>
      </c>
    </row>
    <row r="1481" customFormat="false" ht="15" hidden="false" customHeight="false" outlineLevel="0" collapsed="false">
      <c r="A1481" s="14" t="s">
        <v>19</v>
      </c>
      <c r="B1481" s="14" t="n">
        <v>2025</v>
      </c>
      <c r="C1481" s="14" t="n">
        <v>11</v>
      </c>
      <c r="D1481" s="14" t="s">
        <v>60</v>
      </c>
      <c r="E1481" s="15" t="n">
        <v>250350.78</v>
      </c>
      <c r="F1481" s="15" t="n">
        <v>130846.49</v>
      </c>
      <c r="G1481" s="16" t="n">
        <f aca="false">ROUND(E1481+F1481,2)</f>
        <v>381197.27</v>
      </c>
    </row>
    <row r="1482" customFormat="false" ht="15" hidden="false" customHeight="false" outlineLevel="0" collapsed="false">
      <c r="A1482" s="14" t="s">
        <v>19</v>
      </c>
      <c r="B1482" s="14" t="n">
        <v>2025</v>
      </c>
      <c r="C1482" s="14" t="n">
        <v>12</v>
      </c>
      <c r="D1482" s="14" t="s">
        <v>61</v>
      </c>
      <c r="E1482" s="15" t="n">
        <v>258092.85</v>
      </c>
      <c r="F1482" s="15" t="n">
        <v>147220.31</v>
      </c>
      <c r="G1482" s="16" t="n">
        <f aca="false">ROUND(E1482+F1482,2)</f>
        <v>405313.16</v>
      </c>
    </row>
    <row r="1483" customFormat="false" ht="15" hidden="false" customHeight="false" outlineLevel="0" collapsed="false">
      <c r="A1483" s="14" t="s">
        <v>19</v>
      </c>
      <c r="B1483" s="14" t="n">
        <v>2026</v>
      </c>
      <c r="C1483" s="14" t="n">
        <v>1</v>
      </c>
      <c r="D1483" s="14" t="s">
        <v>50</v>
      </c>
      <c r="E1483" s="15" t="n">
        <v>289691.56</v>
      </c>
      <c r="F1483" s="15" t="n">
        <v>143708.08</v>
      </c>
      <c r="G1483" s="16" t="n">
        <f aca="false">ROUND(E1483+F1483,2)</f>
        <v>433399.64</v>
      </c>
    </row>
    <row r="1484" customFormat="false" ht="15" hidden="false" customHeight="false" outlineLevel="0" collapsed="false">
      <c r="A1484" s="14" t="s">
        <v>19</v>
      </c>
      <c r="B1484" s="14" t="n">
        <v>2026</v>
      </c>
      <c r="C1484" s="14" t="n">
        <v>2</v>
      </c>
      <c r="D1484" s="14" t="s">
        <v>51</v>
      </c>
      <c r="E1484" s="15" t="n">
        <v>314206.28</v>
      </c>
      <c r="F1484" s="15" t="n">
        <v>150156.17</v>
      </c>
      <c r="G1484" s="16" t="n">
        <f aca="false">ROUND(E1484+F1484,2)</f>
        <v>464362.45</v>
      </c>
    </row>
    <row r="1485" customFormat="false" ht="15" hidden="false" customHeight="false" outlineLevel="0" collapsed="false">
      <c r="A1485" s="14" t="s">
        <v>19</v>
      </c>
      <c r="B1485" s="14" t="n">
        <v>2026</v>
      </c>
      <c r="C1485" s="14" t="n">
        <v>3</v>
      </c>
      <c r="D1485" s="14" t="s">
        <v>52</v>
      </c>
      <c r="E1485" s="15" t="n">
        <v>374082.28</v>
      </c>
      <c r="F1485" s="15" t="n">
        <v>171690.79</v>
      </c>
      <c r="G1485" s="16" t="n">
        <f aca="false">ROUND(E1485+F1485,2)</f>
        <v>545773.07</v>
      </c>
    </row>
    <row r="1486" customFormat="false" ht="15" hidden="false" customHeight="false" outlineLevel="0" collapsed="false">
      <c r="A1486" s="14" t="s">
        <v>19</v>
      </c>
      <c r="B1486" s="14" t="n">
        <v>2026</v>
      </c>
      <c r="C1486" s="14" t="n">
        <v>4</v>
      </c>
      <c r="D1486" s="14" t="s">
        <v>53</v>
      </c>
      <c r="E1486" s="15" t="n">
        <v>344940.55</v>
      </c>
      <c r="F1486" s="15" t="n">
        <v>179733.55</v>
      </c>
      <c r="G1486" s="16" t="n">
        <f aca="false">ROUND(E1486+F1486,2)</f>
        <v>524674.1</v>
      </c>
    </row>
    <row r="1487" customFormat="false" ht="15" hidden="false" customHeight="false" outlineLevel="0" collapsed="false">
      <c r="A1487" s="14" t="s">
        <v>19</v>
      </c>
      <c r="B1487" s="14" t="n">
        <v>2026</v>
      </c>
      <c r="C1487" s="14" t="n">
        <v>5</v>
      </c>
      <c r="D1487" s="14" t="s">
        <v>54</v>
      </c>
      <c r="E1487" s="15" t="n">
        <v>368735.24</v>
      </c>
      <c r="F1487" s="15" t="n">
        <v>162543.22</v>
      </c>
      <c r="G1487" s="16" t="n">
        <f aca="false">ROUND(E1487+F1487,2)</f>
        <v>531278.46</v>
      </c>
    </row>
    <row r="1488" customFormat="false" ht="15" hidden="false" customHeight="false" outlineLevel="0" collapsed="false">
      <c r="A1488" s="14" t="s">
        <v>19</v>
      </c>
      <c r="B1488" s="14" t="n">
        <v>2026</v>
      </c>
      <c r="C1488" s="14" t="n">
        <v>6</v>
      </c>
      <c r="D1488" s="14" t="s">
        <v>55</v>
      </c>
      <c r="E1488" s="15" t="n">
        <v>379357.21</v>
      </c>
      <c r="F1488" s="15" t="n">
        <v>190573.96</v>
      </c>
      <c r="G1488" s="16" t="n">
        <f aca="false">ROUND(E1488+F1488,2)</f>
        <v>569931.17</v>
      </c>
    </row>
    <row r="1489" customFormat="false" ht="15" hidden="false" customHeight="false" outlineLevel="0" collapsed="false">
      <c r="A1489" s="14" t="s">
        <v>19</v>
      </c>
      <c r="B1489" s="14" t="n">
        <v>2026</v>
      </c>
      <c r="C1489" s="14" t="n">
        <v>7</v>
      </c>
      <c r="D1489" s="14" t="s">
        <v>56</v>
      </c>
      <c r="E1489" s="15" t="n">
        <v>370257.58</v>
      </c>
      <c r="F1489" s="15" t="n">
        <v>210203.34</v>
      </c>
      <c r="G1489" s="16" t="n">
        <f aca="false">ROUND(E1489+F1489,2)</f>
        <v>580460.92</v>
      </c>
    </row>
    <row r="1490" customFormat="false" ht="15" hidden="false" customHeight="false" outlineLevel="0" collapsed="false">
      <c r="A1490" s="14" t="s">
        <v>13</v>
      </c>
      <c r="B1490" s="14" t="n">
        <v>2021</v>
      </c>
      <c r="C1490" s="14" t="n">
        <v>1</v>
      </c>
      <c r="D1490" s="14" t="s">
        <v>50</v>
      </c>
      <c r="E1490" s="15" t="n">
        <v>398756.53</v>
      </c>
      <c r="F1490" s="15" t="n">
        <v>200069.08</v>
      </c>
      <c r="G1490" s="16" t="n">
        <f aca="false">ROUND(E1490+F1490,2)</f>
        <v>598825.61</v>
      </c>
    </row>
    <row r="1491" customFormat="false" ht="15" hidden="false" customHeight="false" outlineLevel="0" collapsed="false">
      <c r="A1491" s="14" t="s">
        <v>13</v>
      </c>
      <c r="B1491" s="14" t="n">
        <v>2021</v>
      </c>
      <c r="C1491" s="14" t="n">
        <v>2</v>
      </c>
      <c r="D1491" s="14" t="s">
        <v>51</v>
      </c>
      <c r="E1491" s="15" t="n">
        <v>411472.23</v>
      </c>
      <c r="F1491" s="15" t="n">
        <v>246749.58</v>
      </c>
      <c r="G1491" s="16" t="n">
        <f aca="false">ROUND(E1491+F1491,2)</f>
        <v>658221.81</v>
      </c>
    </row>
    <row r="1492" customFormat="false" ht="15" hidden="false" customHeight="false" outlineLevel="0" collapsed="false">
      <c r="A1492" s="14" t="s">
        <v>13</v>
      </c>
      <c r="B1492" s="14" t="n">
        <v>2021</v>
      </c>
      <c r="C1492" s="14" t="n">
        <v>3</v>
      </c>
      <c r="D1492" s="14" t="s">
        <v>52</v>
      </c>
      <c r="E1492" s="15" t="n">
        <v>491860.14</v>
      </c>
      <c r="F1492" s="15" t="n">
        <v>294196.94</v>
      </c>
      <c r="G1492" s="16" t="n">
        <f aca="false">ROUND(E1492+F1492,2)</f>
        <v>786057.08</v>
      </c>
    </row>
    <row r="1493" customFormat="false" ht="15" hidden="false" customHeight="false" outlineLevel="0" collapsed="false">
      <c r="A1493" s="14" t="s">
        <v>13</v>
      </c>
      <c r="B1493" s="14" t="n">
        <v>2021</v>
      </c>
      <c r="C1493" s="14" t="n">
        <v>4</v>
      </c>
      <c r="D1493" s="14" t="s">
        <v>53</v>
      </c>
      <c r="E1493" s="15" t="n">
        <v>483521.54</v>
      </c>
      <c r="F1493" s="15" t="n">
        <v>303726.23</v>
      </c>
      <c r="G1493" s="16" t="n">
        <f aca="false">ROUND(E1493+F1493,2)</f>
        <v>787247.77</v>
      </c>
    </row>
    <row r="1494" customFormat="false" ht="15" hidden="false" customHeight="false" outlineLevel="0" collapsed="false">
      <c r="A1494" s="14" t="s">
        <v>13</v>
      </c>
      <c r="B1494" s="14" t="n">
        <v>2021</v>
      </c>
      <c r="C1494" s="14" t="n">
        <v>5</v>
      </c>
      <c r="D1494" s="14" t="s">
        <v>54</v>
      </c>
      <c r="E1494" s="15" t="n">
        <v>465307.9</v>
      </c>
      <c r="F1494" s="15" t="n">
        <v>286150.79</v>
      </c>
      <c r="G1494" s="16" t="n">
        <f aca="false">ROUND(E1494+F1494,2)</f>
        <v>751458.69</v>
      </c>
    </row>
    <row r="1495" customFormat="false" ht="15" hidden="false" customHeight="false" outlineLevel="0" collapsed="false">
      <c r="A1495" s="14" t="s">
        <v>13</v>
      </c>
      <c r="B1495" s="14" t="n">
        <v>2021</v>
      </c>
      <c r="C1495" s="14" t="n">
        <v>6</v>
      </c>
      <c r="D1495" s="14" t="s">
        <v>55</v>
      </c>
      <c r="E1495" s="15" t="n">
        <v>509410.86</v>
      </c>
      <c r="F1495" s="15" t="n">
        <v>298111.26</v>
      </c>
      <c r="G1495" s="16" t="n">
        <f aca="false">ROUND(E1495+F1495,2)</f>
        <v>807522.12</v>
      </c>
    </row>
    <row r="1496" customFormat="false" ht="15" hidden="false" customHeight="false" outlineLevel="0" collapsed="false">
      <c r="A1496" s="14" t="s">
        <v>13</v>
      </c>
      <c r="B1496" s="14" t="n">
        <v>2021</v>
      </c>
      <c r="C1496" s="14" t="n">
        <v>7</v>
      </c>
      <c r="D1496" s="14" t="s">
        <v>56</v>
      </c>
      <c r="E1496" s="15" t="n">
        <v>511954.02</v>
      </c>
      <c r="F1496" s="15" t="n">
        <v>322521.61</v>
      </c>
      <c r="G1496" s="16" t="n">
        <f aca="false">ROUND(E1496+F1496,2)</f>
        <v>834475.63</v>
      </c>
    </row>
    <row r="1497" customFormat="false" ht="15" hidden="false" customHeight="false" outlineLevel="0" collapsed="false">
      <c r="A1497" s="14" t="s">
        <v>13</v>
      </c>
      <c r="B1497" s="14" t="n">
        <v>2021</v>
      </c>
      <c r="C1497" s="14" t="n">
        <v>8</v>
      </c>
      <c r="D1497" s="14" t="s">
        <v>57</v>
      </c>
      <c r="E1497" s="15" t="n">
        <v>511025.42</v>
      </c>
      <c r="F1497" s="15" t="n">
        <v>311941.73</v>
      </c>
      <c r="G1497" s="16" t="n">
        <f aca="false">ROUND(E1497+F1497,2)</f>
        <v>822967.15</v>
      </c>
    </row>
    <row r="1498" customFormat="false" ht="15" hidden="false" customHeight="false" outlineLevel="0" collapsed="false">
      <c r="A1498" s="14" t="s">
        <v>13</v>
      </c>
      <c r="B1498" s="14" t="n">
        <v>2021</v>
      </c>
      <c r="C1498" s="14" t="n">
        <v>9</v>
      </c>
      <c r="D1498" s="14" t="s">
        <v>58</v>
      </c>
      <c r="E1498" s="15" t="n">
        <v>521171.58</v>
      </c>
      <c r="F1498" s="15" t="n">
        <v>328829.05</v>
      </c>
      <c r="G1498" s="16" t="n">
        <f aca="false">ROUND(E1498+F1498,2)</f>
        <v>850000.63</v>
      </c>
    </row>
    <row r="1499" customFormat="false" ht="15" hidden="false" customHeight="false" outlineLevel="0" collapsed="false">
      <c r="A1499" s="14" t="s">
        <v>13</v>
      </c>
      <c r="B1499" s="14" t="n">
        <v>2021</v>
      </c>
      <c r="C1499" s="14" t="n">
        <v>10</v>
      </c>
      <c r="D1499" s="14" t="s">
        <v>59</v>
      </c>
      <c r="E1499" s="15" t="n">
        <v>486718.64</v>
      </c>
      <c r="F1499" s="15" t="n">
        <v>290286.58</v>
      </c>
      <c r="G1499" s="16" t="n">
        <f aca="false">ROUND(E1499+F1499,2)</f>
        <v>777005.22</v>
      </c>
    </row>
    <row r="1500" customFormat="false" ht="15" hidden="false" customHeight="false" outlineLevel="0" collapsed="false">
      <c r="A1500" s="14" t="s">
        <v>13</v>
      </c>
      <c r="B1500" s="14" t="n">
        <v>2021</v>
      </c>
      <c r="C1500" s="14" t="n">
        <v>11</v>
      </c>
      <c r="D1500" s="14" t="s">
        <v>60</v>
      </c>
      <c r="E1500" s="15" t="n">
        <v>417689.76</v>
      </c>
      <c r="F1500" s="15" t="n">
        <v>282202.92</v>
      </c>
      <c r="G1500" s="16" t="n">
        <f aca="false">ROUND(E1500+F1500,2)</f>
        <v>699892.68</v>
      </c>
    </row>
    <row r="1501" customFormat="false" ht="15" hidden="false" customHeight="false" outlineLevel="0" collapsed="false">
      <c r="A1501" s="14" t="s">
        <v>13</v>
      </c>
      <c r="B1501" s="14" t="n">
        <v>2021</v>
      </c>
      <c r="C1501" s="14" t="n">
        <v>12</v>
      </c>
      <c r="D1501" s="14" t="s">
        <v>61</v>
      </c>
      <c r="E1501" s="15" t="n">
        <v>469279.4</v>
      </c>
      <c r="F1501" s="15" t="n">
        <v>260290.8</v>
      </c>
      <c r="G1501" s="16" t="n">
        <f aca="false">ROUND(E1501+F1501,2)</f>
        <v>729570.2</v>
      </c>
    </row>
    <row r="1502" customFormat="false" ht="15" hidden="false" customHeight="false" outlineLevel="0" collapsed="false">
      <c r="A1502" s="14" t="s">
        <v>13</v>
      </c>
      <c r="B1502" s="14" t="n">
        <v>2022</v>
      </c>
      <c r="C1502" s="14" t="n">
        <v>1</v>
      </c>
      <c r="D1502" s="14" t="s">
        <v>50</v>
      </c>
      <c r="E1502" s="15" t="n">
        <v>514895.33</v>
      </c>
      <c r="F1502" s="15" t="n">
        <v>282266.94</v>
      </c>
      <c r="G1502" s="16" t="n">
        <f aca="false">ROUND(E1502+F1502,2)</f>
        <v>797162.27</v>
      </c>
    </row>
    <row r="1503" customFormat="false" ht="15" hidden="false" customHeight="false" outlineLevel="0" collapsed="false">
      <c r="A1503" s="14" t="s">
        <v>13</v>
      </c>
      <c r="B1503" s="14" t="n">
        <v>2022</v>
      </c>
      <c r="C1503" s="14" t="n">
        <v>2</v>
      </c>
      <c r="D1503" s="14" t="s">
        <v>51</v>
      </c>
      <c r="E1503" s="15" t="n">
        <v>535642.72</v>
      </c>
      <c r="F1503" s="15" t="n">
        <v>358390.93</v>
      </c>
      <c r="G1503" s="16" t="n">
        <f aca="false">ROUND(E1503+F1503,2)</f>
        <v>894033.65</v>
      </c>
    </row>
    <row r="1504" customFormat="false" ht="15" hidden="false" customHeight="false" outlineLevel="0" collapsed="false">
      <c r="A1504" s="14" t="s">
        <v>13</v>
      </c>
      <c r="B1504" s="14" t="n">
        <v>2022</v>
      </c>
      <c r="C1504" s="14" t="n">
        <v>3</v>
      </c>
      <c r="D1504" s="14" t="s">
        <v>52</v>
      </c>
      <c r="E1504" s="15" t="n">
        <v>527069.78</v>
      </c>
      <c r="F1504" s="15" t="n">
        <v>338735.55</v>
      </c>
      <c r="G1504" s="16" t="n">
        <f aca="false">ROUND(E1504+F1504,2)</f>
        <v>865805.33</v>
      </c>
    </row>
    <row r="1505" customFormat="false" ht="15" hidden="false" customHeight="false" outlineLevel="0" collapsed="false">
      <c r="A1505" s="14" t="s">
        <v>13</v>
      </c>
      <c r="B1505" s="14" t="n">
        <v>2022</v>
      </c>
      <c r="C1505" s="14" t="n">
        <v>4</v>
      </c>
      <c r="D1505" s="14" t="s">
        <v>53</v>
      </c>
      <c r="E1505" s="15" t="n">
        <v>523150.53</v>
      </c>
      <c r="F1505" s="15" t="n">
        <v>388880.1</v>
      </c>
      <c r="G1505" s="16" t="n">
        <f aca="false">ROUND(E1505+F1505,2)</f>
        <v>912030.63</v>
      </c>
    </row>
    <row r="1506" customFormat="false" ht="15" hidden="false" customHeight="false" outlineLevel="0" collapsed="false">
      <c r="A1506" s="14" t="s">
        <v>13</v>
      </c>
      <c r="B1506" s="14" t="n">
        <v>2022</v>
      </c>
      <c r="C1506" s="14" t="n">
        <v>5</v>
      </c>
      <c r="D1506" s="14" t="s">
        <v>54</v>
      </c>
      <c r="E1506" s="15" t="n">
        <v>576322.17</v>
      </c>
      <c r="F1506" s="15" t="n">
        <v>309801.52</v>
      </c>
      <c r="G1506" s="16" t="n">
        <f aca="false">ROUND(E1506+F1506,2)</f>
        <v>886123.69</v>
      </c>
    </row>
    <row r="1507" customFormat="false" ht="15" hidden="false" customHeight="false" outlineLevel="0" collapsed="false">
      <c r="A1507" s="14" t="s">
        <v>13</v>
      </c>
      <c r="B1507" s="14" t="n">
        <v>2022</v>
      </c>
      <c r="C1507" s="14" t="n">
        <v>6</v>
      </c>
      <c r="D1507" s="14" t="s">
        <v>55</v>
      </c>
      <c r="E1507" s="15" t="n">
        <v>588677.74</v>
      </c>
      <c r="F1507" s="15" t="n">
        <v>313788.13</v>
      </c>
      <c r="G1507" s="16" t="n">
        <f aca="false">ROUND(E1507+F1507,2)</f>
        <v>902465.87</v>
      </c>
    </row>
    <row r="1508" customFormat="false" ht="15" hidden="false" customHeight="false" outlineLevel="0" collapsed="false">
      <c r="A1508" s="14" t="s">
        <v>13</v>
      </c>
      <c r="B1508" s="14" t="n">
        <v>2022</v>
      </c>
      <c r="C1508" s="14" t="n">
        <v>7</v>
      </c>
      <c r="D1508" s="14" t="s">
        <v>56</v>
      </c>
      <c r="E1508" s="15" t="n">
        <v>567906.09</v>
      </c>
      <c r="F1508" s="15" t="n">
        <v>385516.58</v>
      </c>
      <c r="G1508" s="16" t="n">
        <f aca="false">ROUND(E1508+F1508,2)</f>
        <v>953422.67</v>
      </c>
    </row>
    <row r="1509" customFormat="false" ht="15" hidden="false" customHeight="false" outlineLevel="0" collapsed="false">
      <c r="A1509" s="14" t="s">
        <v>13</v>
      </c>
      <c r="B1509" s="14" t="n">
        <v>2022</v>
      </c>
      <c r="C1509" s="14" t="n">
        <v>8</v>
      </c>
      <c r="D1509" s="14" t="s">
        <v>57</v>
      </c>
      <c r="E1509" s="15" t="n">
        <v>629260.37</v>
      </c>
      <c r="F1509" s="15" t="n">
        <v>399996.08</v>
      </c>
      <c r="G1509" s="16" t="n">
        <f aca="false">ROUND(E1509+F1509,2)</f>
        <v>1029256.45</v>
      </c>
    </row>
    <row r="1510" customFormat="false" ht="15" hidden="false" customHeight="false" outlineLevel="0" collapsed="false">
      <c r="A1510" s="14" t="s">
        <v>13</v>
      </c>
      <c r="B1510" s="14" t="n">
        <v>2022</v>
      </c>
      <c r="C1510" s="14" t="n">
        <v>9</v>
      </c>
      <c r="D1510" s="14" t="s">
        <v>58</v>
      </c>
      <c r="E1510" s="15" t="n">
        <v>601124.21</v>
      </c>
      <c r="F1510" s="15" t="n">
        <v>352987.63</v>
      </c>
      <c r="G1510" s="16" t="n">
        <f aca="false">ROUND(E1510+F1510,2)</f>
        <v>954111.84</v>
      </c>
    </row>
    <row r="1511" customFormat="false" ht="15" hidden="false" customHeight="false" outlineLevel="0" collapsed="false">
      <c r="A1511" s="14" t="s">
        <v>13</v>
      </c>
      <c r="B1511" s="14" t="n">
        <v>2022</v>
      </c>
      <c r="C1511" s="14" t="n">
        <v>10</v>
      </c>
      <c r="D1511" s="14" t="s">
        <v>59</v>
      </c>
      <c r="E1511" s="15" t="n">
        <v>552358.29</v>
      </c>
      <c r="F1511" s="15" t="n">
        <v>342334.03</v>
      </c>
      <c r="G1511" s="16" t="n">
        <f aca="false">ROUND(E1511+F1511,2)</f>
        <v>894692.32</v>
      </c>
    </row>
    <row r="1512" customFormat="false" ht="15" hidden="false" customHeight="false" outlineLevel="0" collapsed="false">
      <c r="A1512" s="14" t="s">
        <v>13</v>
      </c>
      <c r="B1512" s="14" t="n">
        <v>2022</v>
      </c>
      <c r="C1512" s="14" t="n">
        <v>11</v>
      </c>
      <c r="D1512" s="14" t="s">
        <v>60</v>
      </c>
      <c r="E1512" s="15" t="n">
        <v>515536.75</v>
      </c>
      <c r="F1512" s="15" t="n">
        <v>348737.57</v>
      </c>
      <c r="G1512" s="16" t="n">
        <f aca="false">ROUND(E1512+F1512,2)</f>
        <v>864274.32</v>
      </c>
    </row>
    <row r="1513" customFormat="false" ht="15" hidden="false" customHeight="false" outlineLevel="0" collapsed="false">
      <c r="A1513" s="14" t="s">
        <v>13</v>
      </c>
      <c r="B1513" s="14" t="n">
        <v>2022</v>
      </c>
      <c r="C1513" s="14" t="n">
        <v>12</v>
      </c>
      <c r="D1513" s="14" t="s">
        <v>61</v>
      </c>
      <c r="E1513" s="15" t="n">
        <v>534018.37</v>
      </c>
      <c r="F1513" s="15" t="n">
        <v>436381.57</v>
      </c>
      <c r="G1513" s="16" t="n">
        <f aca="false">ROUND(E1513+F1513,2)</f>
        <v>970399.94</v>
      </c>
    </row>
    <row r="1514" customFormat="false" ht="15" hidden="false" customHeight="false" outlineLevel="0" collapsed="false">
      <c r="A1514" s="14" t="s">
        <v>13</v>
      </c>
      <c r="B1514" s="14" t="n">
        <v>2023</v>
      </c>
      <c r="C1514" s="14" t="n">
        <v>1</v>
      </c>
      <c r="D1514" s="14" t="s">
        <v>50</v>
      </c>
      <c r="E1514" s="15" t="n">
        <v>519108.6</v>
      </c>
      <c r="F1514" s="15" t="n">
        <v>332212.41</v>
      </c>
      <c r="G1514" s="16" t="n">
        <f aca="false">ROUND(E1514+F1514,2)</f>
        <v>851321.01</v>
      </c>
    </row>
    <row r="1515" customFormat="false" ht="15" hidden="false" customHeight="false" outlineLevel="0" collapsed="false">
      <c r="A1515" s="14" t="s">
        <v>13</v>
      </c>
      <c r="B1515" s="14" t="n">
        <v>2023</v>
      </c>
      <c r="C1515" s="14" t="n">
        <v>2</v>
      </c>
      <c r="D1515" s="14" t="s">
        <v>51</v>
      </c>
      <c r="E1515" s="15" t="n">
        <v>552578.37</v>
      </c>
      <c r="F1515" s="15" t="n">
        <v>363138.31</v>
      </c>
      <c r="G1515" s="16" t="n">
        <f aca="false">ROUND(E1515+F1515,2)</f>
        <v>915716.68</v>
      </c>
    </row>
    <row r="1516" customFormat="false" ht="15" hidden="false" customHeight="false" outlineLevel="0" collapsed="false">
      <c r="A1516" s="14" t="s">
        <v>13</v>
      </c>
      <c r="B1516" s="14" t="n">
        <v>2023</v>
      </c>
      <c r="C1516" s="14" t="n">
        <v>3</v>
      </c>
      <c r="D1516" s="14" t="s">
        <v>52</v>
      </c>
      <c r="E1516" s="15" t="n">
        <v>600531.35</v>
      </c>
      <c r="F1516" s="15" t="n">
        <v>407789.4</v>
      </c>
      <c r="G1516" s="16" t="n">
        <f aca="false">ROUND(E1516+F1516,2)</f>
        <v>1008320.75</v>
      </c>
    </row>
    <row r="1517" customFormat="false" ht="15" hidden="false" customHeight="false" outlineLevel="0" collapsed="false">
      <c r="A1517" s="14" t="s">
        <v>13</v>
      </c>
      <c r="B1517" s="14" t="n">
        <v>2023</v>
      </c>
      <c r="C1517" s="14" t="n">
        <v>4</v>
      </c>
      <c r="D1517" s="14" t="s">
        <v>53</v>
      </c>
      <c r="E1517" s="15" t="n">
        <v>583467.78</v>
      </c>
      <c r="F1517" s="15" t="n">
        <v>398623.58</v>
      </c>
      <c r="G1517" s="16" t="n">
        <f aca="false">ROUND(E1517+F1517,2)</f>
        <v>982091.36</v>
      </c>
    </row>
    <row r="1518" customFormat="false" ht="15" hidden="false" customHeight="false" outlineLevel="0" collapsed="false">
      <c r="A1518" s="14" t="s">
        <v>13</v>
      </c>
      <c r="B1518" s="14" t="n">
        <v>2023</v>
      </c>
      <c r="C1518" s="14" t="n">
        <v>5</v>
      </c>
      <c r="D1518" s="14" t="s">
        <v>54</v>
      </c>
      <c r="E1518" s="15" t="n">
        <v>618483.56</v>
      </c>
      <c r="F1518" s="15" t="n">
        <v>418952.78</v>
      </c>
      <c r="G1518" s="16" t="n">
        <f aca="false">ROUND(E1518+F1518,2)</f>
        <v>1037436.34</v>
      </c>
    </row>
    <row r="1519" customFormat="false" ht="15" hidden="false" customHeight="false" outlineLevel="0" collapsed="false">
      <c r="A1519" s="14" t="s">
        <v>13</v>
      </c>
      <c r="B1519" s="14" t="n">
        <v>2023</v>
      </c>
      <c r="C1519" s="14" t="n">
        <v>6</v>
      </c>
      <c r="D1519" s="14" t="s">
        <v>55</v>
      </c>
      <c r="E1519" s="15" t="n">
        <v>650557.79</v>
      </c>
      <c r="F1519" s="15" t="n">
        <v>418927.46</v>
      </c>
      <c r="G1519" s="16" t="n">
        <f aca="false">ROUND(E1519+F1519,2)</f>
        <v>1069485.25</v>
      </c>
    </row>
    <row r="1520" customFormat="false" ht="15" hidden="false" customHeight="false" outlineLevel="0" collapsed="false">
      <c r="A1520" s="14" t="s">
        <v>13</v>
      </c>
      <c r="B1520" s="14" t="n">
        <v>2023</v>
      </c>
      <c r="C1520" s="14" t="n">
        <v>7</v>
      </c>
      <c r="D1520" s="14" t="s">
        <v>56</v>
      </c>
      <c r="E1520" s="15" t="n">
        <v>585239.14</v>
      </c>
      <c r="F1520" s="15" t="n">
        <v>401782.91</v>
      </c>
      <c r="G1520" s="16" t="n">
        <f aca="false">ROUND(E1520+F1520,2)</f>
        <v>987022.05</v>
      </c>
    </row>
    <row r="1521" customFormat="false" ht="15" hidden="false" customHeight="false" outlineLevel="0" collapsed="false">
      <c r="A1521" s="14" t="s">
        <v>13</v>
      </c>
      <c r="B1521" s="14" t="n">
        <v>2023</v>
      </c>
      <c r="C1521" s="14" t="n">
        <v>8</v>
      </c>
      <c r="D1521" s="14" t="s">
        <v>57</v>
      </c>
      <c r="E1521" s="15" t="n">
        <v>701613.05</v>
      </c>
      <c r="F1521" s="15" t="n">
        <v>454260.67</v>
      </c>
      <c r="G1521" s="16" t="n">
        <f aca="false">ROUND(E1521+F1521,2)</f>
        <v>1155873.72</v>
      </c>
    </row>
    <row r="1522" customFormat="false" ht="15" hidden="false" customHeight="false" outlineLevel="0" collapsed="false">
      <c r="A1522" s="14" t="s">
        <v>13</v>
      </c>
      <c r="B1522" s="14" t="n">
        <v>2023</v>
      </c>
      <c r="C1522" s="14" t="n">
        <v>9</v>
      </c>
      <c r="D1522" s="14" t="s">
        <v>58</v>
      </c>
      <c r="E1522" s="15" t="n">
        <v>615546.2</v>
      </c>
      <c r="F1522" s="15" t="n">
        <v>414817.96</v>
      </c>
      <c r="G1522" s="16" t="n">
        <f aca="false">ROUND(E1522+F1522,2)</f>
        <v>1030364.16</v>
      </c>
    </row>
    <row r="1523" customFormat="false" ht="15" hidden="false" customHeight="false" outlineLevel="0" collapsed="false">
      <c r="A1523" s="14" t="s">
        <v>13</v>
      </c>
      <c r="B1523" s="14" t="n">
        <v>2023</v>
      </c>
      <c r="C1523" s="14" t="n">
        <v>10</v>
      </c>
      <c r="D1523" s="14" t="s">
        <v>59</v>
      </c>
      <c r="E1523" s="15" t="n">
        <v>608316.2</v>
      </c>
      <c r="F1523" s="15" t="n">
        <v>378536.82</v>
      </c>
      <c r="G1523" s="16" t="n">
        <f aca="false">ROUND(E1523+F1523,2)</f>
        <v>986853.02</v>
      </c>
    </row>
    <row r="1524" customFormat="false" ht="15" hidden="false" customHeight="false" outlineLevel="0" collapsed="false">
      <c r="A1524" s="14" t="s">
        <v>13</v>
      </c>
      <c r="B1524" s="14" t="n">
        <v>2023</v>
      </c>
      <c r="C1524" s="14" t="n">
        <v>11</v>
      </c>
      <c r="D1524" s="14" t="s">
        <v>60</v>
      </c>
      <c r="E1524" s="15" t="n">
        <v>608926.67</v>
      </c>
      <c r="F1524" s="15" t="n">
        <v>424248.13</v>
      </c>
      <c r="G1524" s="16" t="n">
        <f aca="false">ROUND(E1524+F1524,2)</f>
        <v>1033174.8</v>
      </c>
    </row>
    <row r="1525" customFormat="false" ht="15" hidden="false" customHeight="false" outlineLevel="0" collapsed="false">
      <c r="A1525" s="14" t="s">
        <v>13</v>
      </c>
      <c r="B1525" s="14" t="n">
        <v>2023</v>
      </c>
      <c r="C1525" s="14" t="n">
        <v>12</v>
      </c>
      <c r="D1525" s="14" t="s">
        <v>61</v>
      </c>
      <c r="E1525" s="15" t="n">
        <v>607896.11</v>
      </c>
      <c r="F1525" s="15" t="n">
        <v>406342.09</v>
      </c>
      <c r="G1525" s="16" t="n">
        <f aca="false">ROUND(E1525+F1525,2)</f>
        <v>1014238.2</v>
      </c>
    </row>
    <row r="1526" customFormat="false" ht="15" hidden="false" customHeight="false" outlineLevel="0" collapsed="false">
      <c r="A1526" s="14" t="s">
        <v>13</v>
      </c>
      <c r="B1526" s="14" t="n">
        <v>2024</v>
      </c>
      <c r="C1526" s="14" t="n">
        <v>1</v>
      </c>
      <c r="D1526" s="14" t="s">
        <v>50</v>
      </c>
      <c r="E1526" s="15" t="n">
        <v>654990.12</v>
      </c>
      <c r="F1526" s="15" t="n">
        <v>430885.88</v>
      </c>
      <c r="G1526" s="16" t="n">
        <f aca="false">ROUND(E1526+F1526,2)</f>
        <v>1085876</v>
      </c>
    </row>
    <row r="1527" customFormat="false" ht="15" hidden="false" customHeight="false" outlineLevel="0" collapsed="false">
      <c r="A1527" s="14" t="s">
        <v>13</v>
      </c>
      <c r="B1527" s="14" t="n">
        <v>2024</v>
      </c>
      <c r="C1527" s="14" t="n">
        <v>2</v>
      </c>
      <c r="D1527" s="14" t="s">
        <v>51</v>
      </c>
      <c r="E1527" s="15" t="n">
        <v>650333.67</v>
      </c>
      <c r="F1527" s="15" t="n">
        <v>396204.71</v>
      </c>
      <c r="G1527" s="16" t="n">
        <f aca="false">ROUND(E1527+F1527,2)</f>
        <v>1046538.38</v>
      </c>
    </row>
    <row r="1528" customFormat="false" ht="15" hidden="false" customHeight="false" outlineLevel="0" collapsed="false">
      <c r="A1528" s="14" t="s">
        <v>13</v>
      </c>
      <c r="B1528" s="14" t="n">
        <v>2024</v>
      </c>
      <c r="C1528" s="14" t="n">
        <v>3</v>
      </c>
      <c r="D1528" s="14" t="s">
        <v>52</v>
      </c>
      <c r="E1528" s="15" t="n">
        <v>704189.98</v>
      </c>
      <c r="F1528" s="15" t="n">
        <v>419996.2</v>
      </c>
      <c r="G1528" s="16" t="n">
        <f aca="false">ROUND(E1528+F1528,2)</f>
        <v>1124186.18</v>
      </c>
    </row>
    <row r="1529" customFormat="false" ht="15" hidden="false" customHeight="false" outlineLevel="0" collapsed="false">
      <c r="A1529" s="14" t="s">
        <v>13</v>
      </c>
      <c r="B1529" s="14" t="n">
        <v>2024</v>
      </c>
      <c r="C1529" s="14" t="n">
        <v>4</v>
      </c>
      <c r="D1529" s="14" t="s">
        <v>53</v>
      </c>
      <c r="E1529" s="15" t="n">
        <v>675088.54</v>
      </c>
      <c r="F1529" s="15" t="n">
        <v>411025.28</v>
      </c>
      <c r="G1529" s="16" t="n">
        <f aca="false">ROUND(E1529+F1529,2)</f>
        <v>1086113.82</v>
      </c>
    </row>
    <row r="1530" customFormat="false" ht="15" hidden="false" customHeight="false" outlineLevel="0" collapsed="false">
      <c r="A1530" s="14" t="s">
        <v>13</v>
      </c>
      <c r="B1530" s="14" t="n">
        <v>2024</v>
      </c>
      <c r="C1530" s="14" t="n">
        <v>5</v>
      </c>
      <c r="D1530" s="14" t="s">
        <v>54</v>
      </c>
      <c r="E1530" s="15" t="n">
        <v>675183.92</v>
      </c>
      <c r="F1530" s="15" t="n">
        <v>456668.36</v>
      </c>
      <c r="G1530" s="16" t="n">
        <f aca="false">ROUND(E1530+F1530,2)</f>
        <v>1131852.28</v>
      </c>
    </row>
    <row r="1531" customFormat="false" ht="15" hidden="false" customHeight="false" outlineLevel="0" collapsed="false">
      <c r="A1531" s="14" t="s">
        <v>13</v>
      </c>
      <c r="B1531" s="14" t="n">
        <v>2024</v>
      </c>
      <c r="C1531" s="14" t="n">
        <v>6</v>
      </c>
      <c r="D1531" s="14" t="s">
        <v>55</v>
      </c>
      <c r="E1531" s="15" t="n">
        <v>359439.88</v>
      </c>
      <c r="F1531" s="15" t="n">
        <v>182572.35</v>
      </c>
      <c r="G1531" s="16" t="n">
        <f aca="false">ROUND(E1531+F1531,2)</f>
        <v>542012.23</v>
      </c>
    </row>
    <row r="1532" customFormat="false" ht="15" hidden="false" customHeight="false" outlineLevel="0" collapsed="false">
      <c r="A1532" s="14" t="s">
        <v>13</v>
      </c>
      <c r="B1532" s="14" t="n">
        <v>2024</v>
      </c>
      <c r="C1532" s="14" t="n">
        <v>7</v>
      </c>
      <c r="D1532" s="14" t="s">
        <v>56</v>
      </c>
      <c r="E1532" s="15" t="n">
        <v>720901.61</v>
      </c>
      <c r="F1532" s="15" t="n">
        <v>539928.9</v>
      </c>
      <c r="G1532" s="16" t="n">
        <f aca="false">ROUND(E1532+F1532,2)</f>
        <v>1260830.51</v>
      </c>
    </row>
    <row r="1533" customFormat="false" ht="15" hidden="false" customHeight="false" outlineLevel="0" collapsed="false">
      <c r="A1533" s="14" t="s">
        <v>13</v>
      </c>
      <c r="B1533" s="14" t="n">
        <v>2024</v>
      </c>
      <c r="C1533" s="14" t="n">
        <v>8</v>
      </c>
      <c r="D1533" s="14" t="s">
        <v>57</v>
      </c>
      <c r="E1533" s="15" t="n">
        <v>765253.06</v>
      </c>
      <c r="F1533" s="15" t="n">
        <v>495584.62</v>
      </c>
      <c r="G1533" s="16" t="n">
        <f aca="false">ROUND(E1533+F1533,2)</f>
        <v>1260837.68</v>
      </c>
    </row>
    <row r="1534" customFormat="false" ht="15" hidden="false" customHeight="false" outlineLevel="0" collapsed="false">
      <c r="A1534" s="14" t="s">
        <v>13</v>
      </c>
      <c r="B1534" s="14" t="n">
        <v>2024</v>
      </c>
      <c r="C1534" s="14" t="n">
        <v>9</v>
      </c>
      <c r="D1534" s="14" t="s">
        <v>58</v>
      </c>
      <c r="E1534" s="15" t="n">
        <v>660989.74</v>
      </c>
      <c r="F1534" s="15" t="n">
        <v>415924.37</v>
      </c>
      <c r="G1534" s="16" t="n">
        <f aca="false">ROUND(E1534+F1534,2)</f>
        <v>1076914.11</v>
      </c>
    </row>
    <row r="1535" customFormat="false" ht="15" hidden="false" customHeight="false" outlineLevel="0" collapsed="false">
      <c r="A1535" s="14" t="s">
        <v>13</v>
      </c>
      <c r="B1535" s="14" t="n">
        <v>2024</v>
      </c>
      <c r="C1535" s="14" t="n">
        <v>10</v>
      </c>
      <c r="D1535" s="14" t="s">
        <v>59</v>
      </c>
      <c r="E1535" s="15" t="n">
        <v>709389.03</v>
      </c>
      <c r="F1535" s="15" t="n">
        <v>542886.12</v>
      </c>
      <c r="G1535" s="16" t="n">
        <f aca="false">ROUND(E1535+F1535,2)</f>
        <v>1252275.15</v>
      </c>
    </row>
    <row r="1536" customFormat="false" ht="15" hidden="false" customHeight="false" outlineLevel="0" collapsed="false">
      <c r="A1536" s="14" t="s">
        <v>13</v>
      </c>
      <c r="B1536" s="14" t="n">
        <v>2024</v>
      </c>
      <c r="C1536" s="14" t="n">
        <v>11</v>
      </c>
      <c r="D1536" s="14" t="s">
        <v>60</v>
      </c>
      <c r="E1536" s="15" t="n">
        <v>644370.1</v>
      </c>
      <c r="F1536" s="15" t="n">
        <v>519292.67</v>
      </c>
      <c r="G1536" s="16" t="n">
        <f aca="false">ROUND(E1536+F1536,2)</f>
        <v>1163662.77</v>
      </c>
    </row>
    <row r="1537" customFormat="false" ht="15" hidden="false" customHeight="false" outlineLevel="0" collapsed="false">
      <c r="A1537" s="14" t="s">
        <v>13</v>
      </c>
      <c r="B1537" s="14" t="n">
        <v>2024</v>
      </c>
      <c r="C1537" s="14" t="n">
        <v>12</v>
      </c>
      <c r="D1537" s="14" t="s">
        <v>61</v>
      </c>
      <c r="E1537" s="15" t="n">
        <v>625437.58</v>
      </c>
      <c r="F1537" s="15" t="n">
        <v>433118.95</v>
      </c>
      <c r="G1537" s="16" t="n">
        <f aca="false">ROUND(E1537+F1537,2)</f>
        <v>1058556.53</v>
      </c>
    </row>
    <row r="1538" customFormat="false" ht="15" hidden="false" customHeight="false" outlineLevel="0" collapsed="false">
      <c r="A1538" s="14" t="s">
        <v>13</v>
      </c>
      <c r="B1538" s="14" t="n">
        <v>2025</v>
      </c>
      <c r="C1538" s="14" t="n">
        <v>1</v>
      </c>
      <c r="D1538" s="14" t="s">
        <v>50</v>
      </c>
      <c r="E1538" s="15" t="n">
        <v>694031.07</v>
      </c>
      <c r="F1538" s="15" t="n">
        <v>464925.47</v>
      </c>
      <c r="G1538" s="16" t="n">
        <f aca="false">ROUND(E1538+F1538,2)</f>
        <v>1158956.54</v>
      </c>
    </row>
    <row r="1539" customFormat="false" ht="15" hidden="false" customHeight="false" outlineLevel="0" collapsed="false">
      <c r="A1539" s="14" t="s">
        <v>13</v>
      </c>
      <c r="B1539" s="14" t="n">
        <v>2025</v>
      </c>
      <c r="C1539" s="14" t="n">
        <v>2</v>
      </c>
      <c r="D1539" s="14" t="s">
        <v>51</v>
      </c>
      <c r="E1539" s="15" t="n">
        <v>706135.17</v>
      </c>
      <c r="F1539" s="15" t="n">
        <v>466350.31</v>
      </c>
      <c r="G1539" s="16" t="n">
        <f aca="false">ROUND(E1539+F1539,2)</f>
        <v>1172485.48</v>
      </c>
    </row>
    <row r="1540" customFormat="false" ht="15" hidden="false" customHeight="false" outlineLevel="0" collapsed="false">
      <c r="A1540" s="14" t="s">
        <v>13</v>
      </c>
      <c r="B1540" s="14" t="n">
        <v>2025</v>
      </c>
      <c r="C1540" s="14" t="n">
        <v>3</v>
      </c>
      <c r="D1540" s="14" t="s">
        <v>52</v>
      </c>
      <c r="E1540" s="15" t="n">
        <v>705033.25</v>
      </c>
      <c r="F1540" s="15" t="n">
        <v>444627.09</v>
      </c>
      <c r="G1540" s="16" t="n">
        <f aca="false">ROUND(E1540+F1540,2)</f>
        <v>1149660.34</v>
      </c>
    </row>
    <row r="1541" customFormat="false" ht="15" hidden="false" customHeight="false" outlineLevel="0" collapsed="false">
      <c r="A1541" s="14" t="s">
        <v>13</v>
      </c>
      <c r="B1541" s="14" t="n">
        <v>2025</v>
      </c>
      <c r="C1541" s="14" t="n">
        <v>4</v>
      </c>
      <c r="D1541" s="14" t="s">
        <v>53</v>
      </c>
      <c r="E1541" s="15" t="n">
        <v>783630.02</v>
      </c>
      <c r="F1541" s="15" t="n">
        <v>448068.95</v>
      </c>
      <c r="G1541" s="16" t="n">
        <f aca="false">ROUND(E1541+F1541,2)</f>
        <v>1231698.97</v>
      </c>
    </row>
    <row r="1542" customFormat="false" ht="15" hidden="false" customHeight="false" outlineLevel="0" collapsed="false">
      <c r="A1542" s="14" t="s">
        <v>13</v>
      </c>
      <c r="B1542" s="14" t="n">
        <v>2025</v>
      </c>
      <c r="C1542" s="14" t="n">
        <v>5</v>
      </c>
      <c r="D1542" s="14" t="s">
        <v>54</v>
      </c>
      <c r="E1542" s="15" t="n">
        <v>754524.59</v>
      </c>
      <c r="F1542" s="15" t="n">
        <v>428841.42</v>
      </c>
      <c r="G1542" s="16" t="n">
        <f aca="false">ROUND(E1542+F1542,2)</f>
        <v>1183366.01</v>
      </c>
    </row>
    <row r="1543" customFormat="false" ht="15" hidden="false" customHeight="false" outlineLevel="0" collapsed="false">
      <c r="A1543" s="14" t="s">
        <v>13</v>
      </c>
      <c r="B1543" s="14" t="n">
        <v>2025</v>
      </c>
      <c r="C1543" s="14" t="n">
        <v>6</v>
      </c>
      <c r="D1543" s="14" t="s">
        <v>55</v>
      </c>
      <c r="E1543" s="15" t="n">
        <v>709729.51</v>
      </c>
      <c r="F1543" s="15" t="n">
        <v>440272.85</v>
      </c>
      <c r="G1543" s="16" t="n">
        <f aca="false">ROUND(E1543+F1543,2)</f>
        <v>1150002.36</v>
      </c>
    </row>
    <row r="1544" customFormat="false" ht="15" hidden="false" customHeight="false" outlineLevel="0" collapsed="false">
      <c r="A1544" s="14" t="s">
        <v>13</v>
      </c>
      <c r="B1544" s="14" t="n">
        <v>2025</v>
      </c>
      <c r="C1544" s="14" t="n">
        <v>7</v>
      </c>
      <c r="D1544" s="14" t="s">
        <v>56</v>
      </c>
      <c r="E1544" s="15" t="n">
        <v>762384.64</v>
      </c>
      <c r="F1544" s="15" t="n">
        <v>524393.21</v>
      </c>
      <c r="G1544" s="16" t="n">
        <f aca="false">ROUND(E1544+F1544,2)</f>
        <v>1286777.85</v>
      </c>
    </row>
    <row r="1545" customFormat="false" ht="15" hidden="false" customHeight="false" outlineLevel="0" collapsed="false">
      <c r="A1545" s="14" t="s">
        <v>13</v>
      </c>
      <c r="B1545" s="14" t="n">
        <v>2025</v>
      </c>
      <c r="C1545" s="14" t="n">
        <v>8</v>
      </c>
      <c r="D1545" s="14" t="s">
        <v>57</v>
      </c>
      <c r="E1545" s="15" t="n">
        <v>741245.93</v>
      </c>
      <c r="F1545" s="15" t="n">
        <v>459727.63</v>
      </c>
      <c r="G1545" s="16" t="n">
        <f aca="false">ROUND(E1545+F1545,2)</f>
        <v>1200973.56</v>
      </c>
    </row>
    <row r="1546" customFormat="false" ht="15" hidden="false" customHeight="false" outlineLevel="0" collapsed="false">
      <c r="A1546" s="14" t="s">
        <v>13</v>
      </c>
      <c r="B1546" s="14" t="n">
        <v>2025</v>
      </c>
      <c r="C1546" s="14" t="n">
        <v>9</v>
      </c>
      <c r="D1546" s="14" t="s">
        <v>58</v>
      </c>
      <c r="E1546" s="15" t="n">
        <v>609866.52</v>
      </c>
      <c r="F1546" s="15" t="n">
        <v>435180.72</v>
      </c>
      <c r="G1546" s="16" t="n">
        <f aca="false">ROUND(E1546+F1546,2)</f>
        <v>1045047.24</v>
      </c>
    </row>
    <row r="1547" customFormat="false" ht="15" hidden="false" customHeight="false" outlineLevel="0" collapsed="false">
      <c r="A1547" s="14" t="s">
        <v>13</v>
      </c>
      <c r="B1547" s="14" t="n">
        <v>2025</v>
      </c>
      <c r="C1547" s="14" t="n">
        <v>10</v>
      </c>
      <c r="D1547" s="14" t="s">
        <v>59</v>
      </c>
      <c r="E1547" s="15" t="n">
        <v>678092.68</v>
      </c>
      <c r="F1547" s="15" t="n">
        <v>591204.67</v>
      </c>
      <c r="G1547" s="16" t="n">
        <f aca="false">ROUND(E1547+F1547,2)</f>
        <v>1269297.35</v>
      </c>
    </row>
    <row r="1548" customFormat="false" ht="15" hidden="false" customHeight="false" outlineLevel="0" collapsed="false">
      <c r="A1548" s="14" t="s">
        <v>13</v>
      </c>
      <c r="B1548" s="14" t="n">
        <v>2025</v>
      </c>
      <c r="C1548" s="14" t="n">
        <v>11</v>
      </c>
      <c r="D1548" s="14" t="s">
        <v>60</v>
      </c>
      <c r="E1548" s="15" t="n">
        <v>623480.63</v>
      </c>
      <c r="F1548" s="15" t="n">
        <v>421002.72</v>
      </c>
      <c r="G1548" s="16" t="n">
        <f aca="false">ROUND(E1548+F1548,2)</f>
        <v>1044483.35</v>
      </c>
    </row>
    <row r="1549" customFormat="false" ht="15" hidden="false" customHeight="false" outlineLevel="0" collapsed="false">
      <c r="A1549" s="14" t="s">
        <v>13</v>
      </c>
      <c r="B1549" s="14" t="n">
        <v>2025</v>
      </c>
      <c r="C1549" s="14" t="n">
        <v>12</v>
      </c>
      <c r="D1549" s="14" t="s">
        <v>61</v>
      </c>
      <c r="E1549" s="15" t="n">
        <v>641411.33</v>
      </c>
      <c r="F1549" s="15" t="n">
        <v>438423.83</v>
      </c>
      <c r="G1549" s="16" t="n">
        <f aca="false">ROUND(E1549+F1549,2)</f>
        <v>1079835.16</v>
      </c>
    </row>
    <row r="1550" customFormat="false" ht="15" hidden="false" customHeight="false" outlineLevel="0" collapsed="false">
      <c r="A1550" s="14" t="s">
        <v>13</v>
      </c>
      <c r="B1550" s="14" t="n">
        <v>2026</v>
      </c>
      <c r="C1550" s="14" t="n">
        <v>1</v>
      </c>
      <c r="D1550" s="14" t="s">
        <v>50</v>
      </c>
      <c r="E1550" s="15" t="n">
        <v>658677.57</v>
      </c>
      <c r="F1550" s="15" t="n">
        <v>368842.05</v>
      </c>
      <c r="G1550" s="16" t="n">
        <f aca="false">ROUND(E1550+F1550,2)</f>
        <v>1027519.62</v>
      </c>
    </row>
    <row r="1551" customFormat="false" ht="15" hidden="false" customHeight="false" outlineLevel="0" collapsed="false">
      <c r="A1551" s="14" t="s">
        <v>13</v>
      </c>
      <c r="B1551" s="14" t="n">
        <v>2026</v>
      </c>
      <c r="C1551" s="14" t="n">
        <v>2</v>
      </c>
      <c r="D1551" s="14" t="s">
        <v>51</v>
      </c>
      <c r="E1551" s="15" t="n">
        <v>689042.06</v>
      </c>
      <c r="F1551" s="15" t="n">
        <v>443292.21</v>
      </c>
      <c r="G1551" s="16" t="n">
        <f aca="false">ROUND(E1551+F1551,2)</f>
        <v>1132334.27</v>
      </c>
    </row>
    <row r="1552" customFormat="false" ht="15" hidden="false" customHeight="false" outlineLevel="0" collapsed="false">
      <c r="A1552" s="14" t="s">
        <v>13</v>
      </c>
      <c r="B1552" s="14" t="n">
        <v>2026</v>
      </c>
      <c r="C1552" s="14" t="n">
        <v>3</v>
      </c>
      <c r="D1552" s="14" t="s">
        <v>52</v>
      </c>
      <c r="E1552" s="15" t="n">
        <v>713294.51</v>
      </c>
      <c r="F1552" s="15" t="n">
        <v>468720.97</v>
      </c>
      <c r="G1552" s="16" t="n">
        <f aca="false">ROUND(E1552+F1552,2)</f>
        <v>1182015.48</v>
      </c>
    </row>
    <row r="1553" customFormat="false" ht="15" hidden="false" customHeight="false" outlineLevel="0" collapsed="false">
      <c r="A1553" s="14" t="s">
        <v>13</v>
      </c>
      <c r="B1553" s="14" t="n">
        <v>2026</v>
      </c>
      <c r="C1553" s="14" t="n">
        <v>4</v>
      </c>
      <c r="D1553" s="14" t="s">
        <v>53</v>
      </c>
      <c r="E1553" s="15" t="n">
        <v>694438.34</v>
      </c>
      <c r="F1553" s="15" t="n">
        <v>423584.24</v>
      </c>
      <c r="G1553" s="16" t="n">
        <f aca="false">ROUND(E1553+F1553,2)</f>
        <v>1118022.58</v>
      </c>
    </row>
    <row r="1554" customFormat="false" ht="15" hidden="false" customHeight="false" outlineLevel="0" collapsed="false">
      <c r="A1554" s="14" t="s">
        <v>13</v>
      </c>
      <c r="B1554" s="14" t="n">
        <v>2026</v>
      </c>
      <c r="C1554" s="14" t="n">
        <v>5</v>
      </c>
      <c r="D1554" s="14" t="s">
        <v>54</v>
      </c>
      <c r="E1554" s="15" t="n">
        <v>664966.06</v>
      </c>
      <c r="F1554" s="15" t="n">
        <v>409432.49</v>
      </c>
      <c r="G1554" s="16" t="n">
        <f aca="false">ROUND(E1554+F1554,2)</f>
        <v>1074398.55</v>
      </c>
    </row>
    <row r="1555" customFormat="false" ht="15" hidden="false" customHeight="false" outlineLevel="0" collapsed="false">
      <c r="A1555" s="14" t="s">
        <v>13</v>
      </c>
      <c r="B1555" s="14" t="n">
        <v>2026</v>
      </c>
      <c r="C1555" s="14" t="n">
        <v>6</v>
      </c>
      <c r="D1555" s="14" t="s">
        <v>55</v>
      </c>
      <c r="E1555" s="15" t="n">
        <v>688429.65</v>
      </c>
      <c r="F1555" s="15" t="n">
        <v>414033.32</v>
      </c>
      <c r="G1555" s="16" t="n">
        <f aca="false">ROUND(E1555+F1555,2)</f>
        <v>1102462.97</v>
      </c>
    </row>
    <row r="1556" customFormat="false" ht="15" hidden="false" customHeight="false" outlineLevel="0" collapsed="false">
      <c r="A1556" s="14" t="s">
        <v>13</v>
      </c>
      <c r="B1556" s="14" t="n">
        <v>2026</v>
      </c>
      <c r="C1556" s="14" t="n">
        <v>7</v>
      </c>
      <c r="D1556" s="14" t="s">
        <v>56</v>
      </c>
      <c r="E1556" s="15" t="n">
        <v>730030.03</v>
      </c>
      <c r="F1556" s="15" t="n">
        <v>438983.75</v>
      </c>
      <c r="G1556" s="16" t="n">
        <f aca="false">ROUND(E1556+F1556,2)</f>
        <v>1169013.78</v>
      </c>
    </row>
    <row r="1557" customFormat="false" ht="15" hidden="false" customHeight="false" outlineLevel="0" collapsed="false">
      <c r="A1557" s="14" t="s">
        <v>33</v>
      </c>
      <c r="B1557" s="14" t="n">
        <v>2021</v>
      </c>
      <c r="C1557" s="14" t="n">
        <v>1</v>
      </c>
      <c r="D1557" s="14" t="s">
        <v>50</v>
      </c>
      <c r="E1557" s="15" t="n">
        <v>83442.88</v>
      </c>
      <c r="F1557" s="15" t="n">
        <v>47056.74</v>
      </c>
      <c r="G1557" s="16" t="n">
        <f aca="false">ROUND(E1557+F1557,2)</f>
        <v>130499.62</v>
      </c>
    </row>
    <row r="1558" customFormat="false" ht="15" hidden="false" customHeight="false" outlineLevel="0" collapsed="false">
      <c r="A1558" s="14" t="s">
        <v>33</v>
      </c>
      <c r="B1558" s="14" t="n">
        <v>2021</v>
      </c>
      <c r="C1558" s="14" t="n">
        <v>2</v>
      </c>
      <c r="D1558" s="14" t="s">
        <v>51</v>
      </c>
      <c r="E1558" s="15" t="n">
        <v>99484.53</v>
      </c>
      <c r="F1558" s="15" t="n">
        <v>58151.43</v>
      </c>
      <c r="G1558" s="16" t="n">
        <f aca="false">ROUND(E1558+F1558,2)</f>
        <v>157635.96</v>
      </c>
    </row>
    <row r="1559" customFormat="false" ht="15" hidden="false" customHeight="false" outlineLevel="0" collapsed="false">
      <c r="A1559" s="14" t="s">
        <v>33</v>
      </c>
      <c r="B1559" s="14" t="n">
        <v>2021</v>
      </c>
      <c r="C1559" s="14" t="n">
        <v>3</v>
      </c>
      <c r="D1559" s="14" t="s">
        <v>52</v>
      </c>
      <c r="E1559" s="15" t="n">
        <v>116270.58</v>
      </c>
      <c r="F1559" s="15" t="n">
        <v>79408.86</v>
      </c>
      <c r="G1559" s="16" t="n">
        <f aca="false">ROUND(E1559+F1559,2)</f>
        <v>195679.44</v>
      </c>
    </row>
    <row r="1560" customFormat="false" ht="15" hidden="false" customHeight="false" outlineLevel="0" collapsed="false">
      <c r="A1560" s="14" t="s">
        <v>33</v>
      </c>
      <c r="B1560" s="14" t="n">
        <v>2021</v>
      </c>
      <c r="C1560" s="14" t="n">
        <v>4</v>
      </c>
      <c r="D1560" s="14" t="s">
        <v>53</v>
      </c>
      <c r="E1560" s="15" t="n">
        <v>138982.83</v>
      </c>
      <c r="F1560" s="15" t="n">
        <v>88834.8</v>
      </c>
      <c r="G1560" s="16" t="n">
        <f aca="false">ROUND(E1560+F1560,2)</f>
        <v>227817.63</v>
      </c>
    </row>
    <row r="1561" customFormat="false" ht="15" hidden="false" customHeight="false" outlineLevel="0" collapsed="false">
      <c r="A1561" s="14" t="s">
        <v>33</v>
      </c>
      <c r="B1561" s="14" t="n">
        <v>2021</v>
      </c>
      <c r="C1561" s="14" t="n">
        <v>5</v>
      </c>
      <c r="D1561" s="14" t="s">
        <v>54</v>
      </c>
      <c r="E1561" s="15" t="n">
        <v>114618.5</v>
      </c>
      <c r="F1561" s="15" t="n">
        <v>74672.76</v>
      </c>
      <c r="G1561" s="16" t="n">
        <f aca="false">ROUND(E1561+F1561,2)</f>
        <v>189291.26</v>
      </c>
    </row>
    <row r="1562" customFormat="false" ht="15" hidden="false" customHeight="false" outlineLevel="0" collapsed="false">
      <c r="A1562" s="14" t="s">
        <v>33</v>
      </c>
      <c r="B1562" s="14" t="n">
        <v>2021</v>
      </c>
      <c r="C1562" s="14" t="n">
        <v>6</v>
      </c>
      <c r="D1562" s="14" t="s">
        <v>55</v>
      </c>
      <c r="E1562" s="15" t="n">
        <v>122105.38</v>
      </c>
      <c r="F1562" s="15" t="n">
        <v>77541.23</v>
      </c>
      <c r="G1562" s="16" t="n">
        <f aca="false">ROUND(E1562+F1562,2)</f>
        <v>199646.61</v>
      </c>
    </row>
    <row r="1563" customFormat="false" ht="15" hidden="false" customHeight="false" outlineLevel="0" collapsed="false">
      <c r="A1563" s="14" t="s">
        <v>33</v>
      </c>
      <c r="B1563" s="14" t="n">
        <v>2021</v>
      </c>
      <c r="C1563" s="14" t="n">
        <v>7</v>
      </c>
      <c r="D1563" s="14" t="s">
        <v>56</v>
      </c>
      <c r="E1563" s="15" t="n">
        <v>129624.41</v>
      </c>
      <c r="F1563" s="15" t="n">
        <v>95016.6</v>
      </c>
      <c r="G1563" s="16" t="n">
        <f aca="false">ROUND(E1563+F1563,2)</f>
        <v>224641.01</v>
      </c>
    </row>
    <row r="1564" customFormat="false" ht="15" hidden="false" customHeight="false" outlineLevel="0" collapsed="false">
      <c r="A1564" s="14" t="s">
        <v>33</v>
      </c>
      <c r="B1564" s="14" t="n">
        <v>2021</v>
      </c>
      <c r="C1564" s="14" t="n">
        <v>8</v>
      </c>
      <c r="D1564" s="14" t="s">
        <v>57</v>
      </c>
      <c r="E1564" s="15" t="n">
        <v>128801.59</v>
      </c>
      <c r="F1564" s="15" t="n">
        <v>82685.67</v>
      </c>
      <c r="G1564" s="16" t="n">
        <f aca="false">ROUND(E1564+F1564,2)</f>
        <v>211487.26</v>
      </c>
    </row>
    <row r="1565" customFormat="false" ht="15" hidden="false" customHeight="false" outlineLevel="0" collapsed="false">
      <c r="A1565" s="14" t="s">
        <v>33</v>
      </c>
      <c r="B1565" s="14" t="n">
        <v>2021</v>
      </c>
      <c r="C1565" s="14" t="n">
        <v>9</v>
      </c>
      <c r="D1565" s="14" t="s">
        <v>58</v>
      </c>
      <c r="E1565" s="15" t="n">
        <v>122863.8</v>
      </c>
      <c r="F1565" s="15" t="n">
        <v>72170.61</v>
      </c>
      <c r="G1565" s="16" t="n">
        <f aca="false">ROUND(E1565+F1565,2)</f>
        <v>195034.41</v>
      </c>
    </row>
    <row r="1566" customFormat="false" ht="15" hidden="false" customHeight="false" outlineLevel="0" collapsed="false">
      <c r="A1566" s="14" t="s">
        <v>33</v>
      </c>
      <c r="B1566" s="14" t="n">
        <v>2021</v>
      </c>
      <c r="C1566" s="14" t="n">
        <v>10</v>
      </c>
      <c r="D1566" s="14" t="s">
        <v>59</v>
      </c>
      <c r="E1566" s="15" t="n">
        <v>117862.73</v>
      </c>
      <c r="F1566" s="15" t="n">
        <v>81197.09</v>
      </c>
      <c r="G1566" s="16" t="n">
        <f aca="false">ROUND(E1566+F1566,2)</f>
        <v>199059.82</v>
      </c>
    </row>
    <row r="1567" customFormat="false" ht="15" hidden="false" customHeight="false" outlineLevel="0" collapsed="false">
      <c r="A1567" s="14" t="s">
        <v>33</v>
      </c>
      <c r="B1567" s="14" t="n">
        <v>2021</v>
      </c>
      <c r="C1567" s="14" t="n">
        <v>11</v>
      </c>
      <c r="D1567" s="14" t="s">
        <v>60</v>
      </c>
      <c r="E1567" s="15" t="n">
        <v>81730.28</v>
      </c>
      <c r="F1567" s="15" t="n">
        <v>56616</v>
      </c>
      <c r="G1567" s="16" t="n">
        <f aca="false">ROUND(E1567+F1567,2)</f>
        <v>138346.28</v>
      </c>
    </row>
    <row r="1568" customFormat="false" ht="15" hidden="false" customHeight="false" outlineLevel="0" collapsed="false">
      <c r="A1568" s="14" t="s">
        <v>33</v>
      </c>
      <c r="B1568" s="14" t="n">
        <v>2021</v>
      </c>
      <c r="C1568" s="14" t="n">
        <v>12</v>
      </c>
      <c r="D1568" s="14" t="s">
        <v>61</v>
      </c>
      <c r="E1568" s="15" t="n">
        <v>118625.43</v>
      </c>
      <c r="F1568" s="15" t="n">
        <v>69737.73</v>
      </c>
      <c r="G1568" s="16" t="n">
        <f aca="false">ROUND(E1568+F1568,2)</f>
        <v>188363.16</v>
      </c>
    </row>
    <row r="1569" customFormat="false" ht="15" hidden="false" customHeight="false" outlineLevel="0" collapsed="false">
      <c r="A1569" s="14" t="s">
        <v>33</v>
      </c>
      <c r="B1569" s="14" t="n">
        <v>2022</v>
      </c>
      <c r="C1569" s="14" t="n">
        <v>1</v>
      </c>
      <c r="D1569" s="14" t="s">
        <v>50</v>
      </c>
      <c r="E1569" s="15" t="n">
        <v>112728.65</v>
      </c>
      <c r="F1569" s="15" t="n">
        <v>71564.39</v>
      </c>
      <c r="G1569" s="16" t="n">
        <f aca="false">ROUND(E1569+F1569,2)</f>
        <v>184293.04</v>
      </c>
    </row>
    <row r="1570" customFormat="false" ht="15" hidden="false" customHeight="false" outlineLevel="0" collapsed="false">
      <c r="A1570" s="14" t="s">
        <v>33</v>
      </c>
      <c r="B1570" s="14" t="n">
        <v>2022</v>
      </c>
      <c r="C1570" s="14" t="n">
        <v>2</v>
      </c>
      <c r="D1570" s="14" t="s">
        <v>51</v>
      </c>
      <c r="E1570" s="15" t="n">
        <v>106475.59</v>
      </c>
      <c r="F1570" s="15" t="n">
        <v>71775.65</v>
      </c>
      <c r="G1570" s="16" t="n">
        <f aca="false">ROUND(E1570+F1570,2)</f>
        <v>178251.24</v>
      </c>
    </row>
    <row r="1571" customFormat="false" ht="15" hidden="false" customHeight="false" outlineLevel="0" collapsed="false">
      <c r="A1571" s="14" t="s">
        <v>33</v>
      </c>
      <c r="B1571" s="14" t="n">
        <v>2022</v>
      </c>
      <c r="C1571" s="14" t="n">
        <v>3</v>
      </c>
      <c r="D1571" s="14" t="s">
        <v>52</v>
      </c>
      <c r="E1571" s="15" t="n">
        <v>122742.58</v>
      </c>
      <c r="F1571" s="15" t="n">
        <v>73979.72</v>
      </c>
      <c r="G1571" s="16" t="n">
        <f aca="false">ROUND(E1571+F1571,2)</f>
        <v>196722.3</v>
      </c>
    </row>
    <row r="1572" customFormat="false" ht="15" hidden="false" customHeight="false" outlineLevel="0" collapsed="false">
      <c r="A1572" s="14" t="s">
        <v>33</v>
      </c>
      <c r="B1572" s="14" t="n">
        <v>2022</v>
      </c>
      <c r="C1572" s="14" t="n">
        <v>4</v>
      </c>
      <c r="D1572" s="14" t="s">
        <v>53</v>
      </c>
      <c r="E1572" s="15" t="n">
        <v>119930.73</v>
      </c>
      <c r="F1572" s="15" t="n">
        <v>75779.99</v>
      </c>
      <c r="G1572" s="16" t="n">
        <f aca="false">ROUND(E1572+F1572,2)</f>
        <v>195710.72</v>
      </c>
    </row>
    <row r="1573" customFormat="false" ht="15" hidden="false" customHeight="false" outlineLevel="0" collapsed="false">
      <c r="A1573" s="14" t="s">
        <v>33</v>
      </c>
      <c r="B1573" s="14" t="n">
        <v>2022</v>
      </c>
      <c r="C1573" s="14" t="n">
        <v>5</v>
      </c>
      <c r="D1573" s="14" t="s">
        <v>54</v>
      </c>
      <c r="E1573" s="15" t="n">
        <v>124309.78</v>
      </c>
      <c r="F1573" s="15" t="n">
        <v>82015.68</v>
      </c>
      <c r="G1573" s="16" t="n">
        <f aca="false">ROUND(E1573+F1573,2)</f>
        <v>206325.46</v>
      </c>
    </row>
    <row r="1574" customFormat="false" ht="15" hidden="false" customHeight="false" outlineLevel="0" collapsed="false">
      <c r="A1574" s="14" t="s">
        <v>33</v>
      </c>
      <c r="B1574" s="14" t="n">
        <v>2022</v>
      </c>
      <c r="C1574" s="14" t="n">
        <v>6</v>
      </c>
      <c r="D1574" s="14" t="s">
        <v>55</v>
      </c>
      <c r="E1574" s="15" t="n">
        <v>120403.47</v>
      </c>
      <c r="F1574" s="15" t="n">
        <v>75960.73</v>
      </c>
      <c r="G1574" s="16" t="n">
        <f aca="false">ROUND(E1574+F1574,2)</f>
        <v>196364.2</v>
      </c>
    </row>
    <row r="1575" customFormat="false" ht="15" hidden="false" customHeight="false" outlineLevel="0" collapsed="false">
      <c r="A1575" s="14" t="s">
        <v>33</v>
      </c>
      <c r="B1575" s="14" t="n">
        <v>2022</v>
      </c>
      <c r="C1575" s="14" t="n">
        <v>7</v>
      </c>
      <c r="D1575" s="14" t="s">
        <v>56</v>
      </c>
      <c r="E1575" s="15" t="n">
        <v>114287.6</v>
      </c>
      <c r="F1575" s="15" t="n">
        <v>72543.97</v>
      </c>
      <c r="G1575" s="16" t="n">
        <f aca="false">ROUND(E1575+F1575,2)</f>
        <v>186831.57</v>
      </c>
    </row>
    <row r="1576" customFormat="false" ht="15" hidden="false" customHeight="false" outlineLevel="0" collapsed="false">
      <c r="A1576" s="14" t="s">
        <v>33</v>
      </c>
      <c r="B1576" s="14" t="n">
        <v>2022</v>
      </c>
      <c r="C1576" s="14" t="n">
        <v>8</v>
      </c>
      <c r="D1576" s="14" t="s">
        <v>57</v>
      </c>
      <c r="E1576" s="15" t="n">
        <v>117925.9</v>
      </c>
      <c r="F1576" s="15" t="n">
        <v>101026.76</v>
      </c>
      <c r="G1576" s="16" t="n">
        <f aca="false">ROUND(E1576+F1576,2)</f>
        <v>218952.66</v>
      </c>
    </row>
    <row r="1577" customFormat="false" ht="15" hidden="false" customHeight="false" outlineLevel="0" collapsed="false">
      <c r="A1577" s="14" t="s">
        <v>33</v>
      </c>
      <c r="B1577" s="14" t="n">
        <v>2022</v>
      </c>
      <c r="C1577" s="14" t="n">
        <v>9</v>
      </c>
      <c r="D1577" s="14" t="s">
        <v>58</v>
      </c>
      <c r="E1577" s="15" t="n">
        <v>121926.11</v>
      </c>
      <c r="F1577" s="15" t="n">
        <v>80432.37</v>
      </c>
      <c r="G1577" s="16" t="n">
        <f aca="false">ROUND(E1577+F1577,2)</f>
        <v>202358.48</v>
      </c>
    </row>
    <row r="1578" customFormat="false" ht="15" hidden="false" customHeight="false" outlineLevel="0" collapsed="false">
      <c r="A1578" s="14" t="s">
        <v>33</v>
      </c>
      <c r="B1578" s="14" t="n">
        <v>2022</v>
      </c>
      <c r="C1578" s="14" t="n">
        <v>10</v>
      </c>
      <c r="D1578" s="14" t="s">
        <v>59</v>
      </c>
      <c r="E1578" s="15" t="n">
        <v>108512.25</v>
      </c>
      <c r="F1578" s="15" t="n">
        <v>71917.14</v>
      </c>
      <c r="G1578" s="16" t="n">
        <f aca="false">ROUND(E1578+F1578,2)</f>
        <v>180429.39</v>
      </c>
    </row>
    <row r="1579" customFormat="false" ht="15" hidden="false" customHeight="false" outlineLevel="0" collapsed="false">
      <c r="A1579" s="14" t="s">
        <v>33</v>
      </c>
      <c r="B1579" s="14" t="n">
        <v>2022</v>
      </c>
      <c r="C1579" s="14" t="n">
        <v>11</v>
      </c>
      <c r="D1579" s="14" t="s">
        <v>60</v>
      </c>
      <c r="E1579" s="15" t="n">
        <v>94505.58</v>
      </c>
      <c r="F1579" s="15" t="n">
        <v>72941.96</v>
      </c>
      <c r="G1579" s="16" t="n">
        <f aca="false">ROUND(E1579+F1579,2)</f>
        <v>167447.54</v>
      </c>
    </row>
    <row r="1580" customFormat="false" ht="15" hidden="false" customHeight="false" outlineLevel="0" collapsed="false">
      <c r="A1580" s="14" t="s">
        <v>33</v>
      </c>
      <c r="B1580" s="14" t="n">
        <v>2022</v>
      </c>
      <c r="C1580" s="14" t="n">
        <v>12</v>
      </c>
      <c r="D1580" s="14" t="s">
        <v>61</v>
      </c>
      <c r="E1580" s="15" t="n">
        <v>103451.28</v>
      </c>
      <c r="F1580" s="15" t="n">
        <v>81406.32</v>
      </c>
      <c r="G1580" s="16" t="n">
        <f aca="false">ROUND(E1580+F1580,2)</f>
        <v>184857.6</v>
      </c>
    </row>
    <row r="1581" customFormat="false" ht="15" hidden="false" customHeight="false" outlineLevel="0" collapsed="false">
      <c r="A1581" s="14" t="s">
        <v>33</v>
      </c>
      <c r="B1581" s="14" t="n">
        <v>2023</v>
      </c>
      <c r="C1581" s="14" t="n">
        <v>1</v>
      </c>
      <c r="D1581" s="14" t="s">
        <v>50</v>
      </c>
      <c r="E1581" s="15" t="n">
        <v>102027.11</v>
      </c>
      <c r="F1581" s="15" t="n">
        <v>85755.38</v>
      </c>
      <c r="G1581" s="16" t="n">
        <f aca="false">ROUND(E1581+F1581,2)</f>
        <v>187782.49</v>
      </c>
    </row>
    <row r="1582" customFormat="false" ht="15" hidden="false" customHeight="false" outlineLevel="0" collapsed="false">
      <c r="A1582" s="14" t="s">
        <v>33</v>
      </c>
      <c r="B1582" s="14" t="n">
        <v>2023</v>
      </c>
      <c r="C1582" s="14" t="n">
        <v>2</v>
      </c>
      <c r="D1582" s="14" t="s">
        <v>51</v>
      </c>
      <c r="E1582" s="15" t="n">
        <v>97359.61</v>
      </c>
      <c r="F1582" s="15" t="n">
        <v>76493.44</v>
      </c>
      <c r="G1582" s="16" t="n">
        <f aca="false">ROUND(E1582+F1582,2)</f>
        <v>173853.05</v>
      </c>
    </row>
    <row r="1583" customFormat="false" ht="15" hidden="false" customHeight="false" outlineLevel="0" collapsed="false">
      <c r="A1583" s="14" t="s">
        <v>33</v>
      </c>
      <c r="B1583" s="14" t="n">
        <v>2023</v>
      </c>
      <c r="C1583" s="14" t="n">
        <v>3</v>
      </c>
      <c r="D1583" s="14" t="s">
        <v>52</v>
      </c>
      <c r="E1583" s="15" t="n">
        <v>144039.09</v>
      </c>
      <c r="F1583" s="15" t="n">
        <v>100309.19</v>
      </c>
      <c r="G1583" s="16" t="n">
        <f aca="false">ROUND(E1583+F1583,2)</f>
        <v>244348.28</v>
      </c>
    </row>
    <row r="1584" customFormat="false" ht="15" hidden="false" customHeight="false" outlineLevel="0" collapsed="false">
      <c r="A1584" s="14" t="s">
        <v>33</v>
      </c>
      <c r="B1584" s="14" t="n">
        <v>2023</v>
      </c>
      <c r="C1584" s="14" t="n">
        <v>4</v>
      </c>
      <c r="D1584" s="14" t="s">
        <v>53</v>
      </c>
      <c r="E1584" s="15" t="n">
        <v>127066.55</v>
      </c>
      <c r="F1584" s="15" t="n">
        <v>81312.74</v>
      </c>
      <c r="G1584" s="16" t="n">
        <f aca="false">ROUND(E1584+F1584,2)</f>
        <v>208379.29</v>
      </c>
    </row>
    <row r="1585" customFormat="false" ht="15" hidden="false" customHeight="false" outlineLevel="0" collapsed="false">
      <c r="A1585" s="14" t="s">
        <v>33</v>
      </c>
      <c r="B1585" s="14" t="n">
        <v>2023</v>
      </c>
      <c r="C1585" s="14" t="n">
        <v>5</v>
      </c>
      <c r="D1585" s="14" t="s">
        <v>54</v>
      </c>
      <c r="E1585" s="15" t="n">
        <v>142015.6</v>
      </c>
      <c r="F1585" s="15" t="n">
        <v>87392.62</v>
      </c>
      <c r="G1585" s="16" t="n">
        <f aca="false">ROUND(E1585+F1585,2)</f>
        <v>229408.22</v>
      </c>
    </row>
    <row r="1586" customFormat="false" ht="15" hidden="false" customHeight="false" outlineLevel="0" collapsed="false">
      <c r="A1586" s="14" t="s">
        <v>33</v>
      </c>
      <c r="B1586" s="14" t="n">
        <v>2023</v>
      </c>
      <c r="C1586" s="14" t="n">
        <v>6</v>
      </c>
      <c r="D1586" s="14" t="s">
        <v>55</v>
      </c>
      <c r="E1586" s="15" t="n">
        <v>136427.72</v>
      </c>
      <c r="F1586" s="15" t="n">
        <v>97233.34</v>
      </c>
      <c r="G1586" s="16" t="n">
        <f aca="false">ROUND(E1586+F1586,2)</f>
        <v>233661.06</v>
      </c>
    </row>
    <row r="1587" customFormat="false" ht="15" hidden="false" customHeight="false" outlineLevel="0" collapsed="false">
      <c r="A1587" s="14" t="s">
        <v>33</v>
      </c>
      <c r="B1587" s="14" t="n">
        <v>2023</v>
      </c>
      <c r="C1587" s="14" t="n">
        <v>7</v>
      </c>
      <c r="D1587" s="14" t="s">
        <v>56</v>
      </c>
      <c r="E1587" s="15" t="n">
        <v>113705.94</v>
      </c>
      <c r="F1587" s="15" t="n">
        <v>88818.14</v>
      </c>
      <c r="G1587" s="16" t="n">
        <f aca="false">ROUND(E1587+F1587,2)</f>
        <v>202524.08</v>
      </c>
    </row>
    <row r="1588" customFormat="false" ht="15" hidden="false" customHeight="false" outlineLevel="0" collapsed="false">
      <c r="A1588" s="14" t="s">
        <v>33</v>
      </c>
      <c r="B1588" s="14" t="n">
        <v>2023</v>
      </c>
      <c r="C1588" s="14" t="n">
        <v>8</v>
      </c>
      <c r="D1588" s="14" t="s">
        <v>57</v>
      </c>
      <c r="E1588" s="15" t="n">
        <v>149801.03</v>
      </c>
      <c r="F1588" s="15" t="n">
        <v>105430.85</v>
      </c>
      <c r="G1588" s="16" t="n">
        <f aca="false">ROUND(E1588+F1588,2)</f>
        <v>255231.88</v>
      </c>
    </row>
    <row r="1589" customFormat="false" ht="15" hidden="false" customHeight="false" outlineLevel="0" collapsed="false">
      <c r="A1589" s="14" t="s">
        <v>33</v>
      </c>
      <c r="B1589" s="14" t="n">
        <v>2023</v>
      </c>
      <c r="C1589" s="14" t="n">
        <v>9</v>
      </c>
      <c r="D1589" s="14" t="s">
        <v>58</v>
      </c>
      <c r="E1589" s="15" t="n">
        <v>140276.59</v>
      </c>
      <c r="F1589" s="15" t="n">
        <v>93717.52</v>
      </c>
      <c r="G1589" s="16" t="n">
        <f aca="false">ROUND(E1589+F1589,2)</f>
        <v>233994.11</v>
      </c>
    </row>
    <row r="1590" customFormat="false" ht="15" hidden="false" customHeight="false" outlineLevel="0" collapsed="false">
      <c r="A1590" s="14" t="s">
        <v>33</v>
      </c>
      <c r="B1590" s="14" t="n">
        <v>2023</v>
      </c>
      <c r="C1590" s="14" t="n">
        <v>10</v>
      </c>
      <c r="D1590" s="14" t="s">
        <v>59</v>
      </c>
      <c r="E1590" s="15" t="n">
        <v>133224.96</v>
      </c>
      <c r="F1590" s="15" t="n">
        <v>86497.64</v>
      </c>
      <c r="G1590" s="16" t="n">
        <f aca="false">ROUND(E1590+F1590,2)</f>
        <v>219722.6</v>
      </c>
    </row>
    <row r="1591" customFormat="false" ht="15" hidden="false" customHeight="false" outlineLevel="0" collapsed="false">
      <c r="A1591" s="14" t="s">
        <v>33</v>
      </c>
      <c r="B1591" s="14" t="n">
        <v>2023</v>
      </c>
      <c r="C1591" s="14" t="n">
        <v>11</v>
      </c>
      <c r="D1591" s="14" t="s">
        <v>60</v>
      </c>
      <c r="E1591" s="15" t="n">
        <v>136341.08</v>
      </c>
      <c r="F1591" s="15" t="n">
        <v>88367.61</v>
      </c>
      <c r="G1591" s="16" t="n">
        <f aca="false">ROUND(E1591+F1591,2)</f>
        <v>224708.69</v>
      </c>
    </row>
    <row r="1592" customFormat="false" ht="15" hidden="false" customHeight="false" outlineLevel="0" collapsed="false">
      <c r="A1592" s="14" t="s">
        <v>33</v>
      </c>
      <c r="B1592" s="14" t="n">
        <v>2023</v>
      </c>
      <c r="C1592" s="14" t="n">
        <v>12</v>
      </c>
      <c r="D1592" s="14" t="s">
        <v>61</v>
      </c>
      <c r="E1592" s="15" t="n">
        <v>104794.13</v>
      </c>
      <c r="F1592" s="15" t="n">
        <v>73688.36</v>
      </c>
      <c r="G1592" s="16" t="n">
        <f aca="false">ROUND(E1592+F1592,2)</f>
        <v>178482.49</v>
      </c>
    </row>
    <row r="1593" customFormat="false" ht="15" hidden="false" customHeight="false" outlineLevel="0" collapsed="false">
      <c r="A1593" s="14" t="s">
        <v>33</v>
      </c>
      <c r="B1593" s="14" t="n">
        <v>2024</v>
      </c>
      <c r="C1593" s="14" t="n">
        <v>1</v>
      </c>
      <c r="D1593" s="14" t="s">
        <v>50</v>
      </c>
      <c r="E1593" s="15" t="n">
        <v>137857.39</v>
      </c>
      <c r="F1593" s="15" t="n">
        <v>86542.36</v>
      </c>
      <c r="G1593" s="16" t="n">
        <f aca="false">ROUND(E1593+F1593,2)</f>
        <v>224399.75</v>
      </c>
    </row>
    <row r="1594" customFormat="false" ht="15" hidden="false" customHeight="false" outlineLevel="0" collapsed="false">
      <c r="A1594" s="14" t="s">
        <v>33</v>
      </c>
      <c r="B1594" s="14" t="n">
        <v>2024</v>
      </c>
      <c r="C1594" s="14" t="n">
        <v>2</v>
      </c>
      <c r="D1594" s="14" t="s">
        <v>51</v>
      </c>
      <c r="E1594" s="15" t="n">
        <v>97621.71</v>
      </c>
      <c r="F1594" s="15" t="n">
        <v>63118.58</v>
      </c>
      <c r="G1594" s="16" t="n">
        <f aca="false">ROUND(E1594+F1594,2)</f>
        <v>160740.29</v>
      </c>
    </row>
    <row r="1595" customFormat="false" ht="15" hidden="false" customHeight="false" outlineLevel="0" collapsed="false">
      <c r="A1595" s="14" t="s">
        <v>33</v>
      </c>
      <c r="B1595" s="14" t="n">
        <v>2024</v>
      </c>
      <c r="C1595" s="14" t="n">
        <v>3</v>
      </c>
      <c r="D1595" s="14" t="s">
        <v>52</v>
      </c>
      <c r="E1595" s="15" t="n">
        <v>126699.37</v>
      </c>
      <c r="F1595" s="15" t="n">
        <v>80187.2</v>
      </c>
      <c r="G1595" s="16" t="n">
        <f aca="false">ROUND(E1595+F1595,2)</f>
        <v>206886.57</v>
      </c>
    </row>
    <row r="1596" customFormat="false" ht="15" hidden="false" customHeight="false" outlineLevel="0" collapsed="false">
      <c r="A1596" s="14" t="s">
        <v>33</v>
      </c>
      <c r="B1596" s="14" t="n">
        <v>2024</v>
      </c>
      <c r="C1596" s="14" t="n">
        <v>4</v>
      </c>
      <c r="D1596" s="14" t="s">
        <v>53</v>
      </c>
      <c r="E1596" s="15" t="n">
        <v>137397.34</v>
      </c>
      <c r="F1596" s="15" t="n">
        <v>97747.38</v>
      </c>
      <c r="G1596" s="16" t="n">
        <f aca="false">ROUND(E1596+F1596,2)</f>
        <v>235144.72</v>
      </c>
    </row>
    <row r="1597" customFormat="false" ht="15" hidden="false" customHeight="false" outlineLevel="0" collapsed="false">
      <c r="A1597" s="14" t="s">
        <v>33</v>
      </c>
      <c r="B1597" s="14" t="n">
        <v>2024</v>
      </c>
      <c r="C1597" s="14" t="n">
        <v>5</v>
      </c>
      <c r="D1597" s="14" t="s">
        <v>54</v>
      </c>
      <c r="E1597" s="15" t="n">
        <v>164861.7</v>
      </c>
      <c r="F1597" s="15" t="n">
        <v>107377.61</v>
      </c>
      <c r="G1597" s="16" t="n">
        <f aca="false">ROUND(E1597+F1597,2)</f>
        <v>272239.31</v>
      </c>
    </row>
    <row r="1598" customFormat="false" ht="15" hidden="false" customHeight="false" outlineLevel="0" collapsed="false">
      <c r="A1598" s="14" t="s">
        <v>33</v>
      </c>
      <c r="B1598" s="14" t="n">
        <v>2024</v>
      </c>
      <c r="C1598" s="14" t="n">
        <v>6</v>
      </c>
      <c r="D1598" s="14" t="s">
        <v>55</v>
      </c>
      <c r="E1598" s="15" t="n">
        <v>47503.68</v>
      </c>
      <c r="F1598" s="15" t="n">
        <v>26047.14</v>
      </c>
      <c r="G1598" s="16" t="n">
        <f aca="false">ROUND(E1598+F1598,2)</f>
        <v>73550.82</v>
      </c>
    </row>
    <row r="1599" customFormat="false" ht="15" hidden="false" customHeight="false" outlineLevel="0" collapsed="false">
      <c r="A1599" s="14" t="s">
        <v>33</v>
      </c>
      <c r="B1599" s="14" t="n">
        <v>2024</v>
      </c>
      <c r="C1599" s="14" t="n">
        <v>7</v>
      </c>
      <c r="D1599" s="14" t="s">
        <v>56</v>
      </c>
      <c r="E1599" s="15" t="n">
        <v>156494.01</v>
      </c>
      <c r="F1599" s="15" t="n">
        <v>111891.32</v>
      </c>
      <c r="G1599" s="16" t="n">
        <f aca="false">ROUND(E1599+F1599,2)</f>
        <v>268385.33</v>
      </c>
    </row>
    <row r="1600" customFormat="false" ht="15" hidden="false" customHeight="false" outlineLevel="0" collapsed="false">
      <c r="A1600" s="14" t="s">
        <v>33</v>
      </c>
      <c r="B1600" s="14" t="n">
        <v>2024</v>
      </c>
      <c r="C1600" s="14" t="n">
        <v>8</v>
      </c>
      <c r="D1600" s="14" t="s">
        <v>57</v>
      </c>
      <c r="E1600" s="15" t="n">
        <v>142802.15</v>
      </c>
      <c r="F1600" s="15" t="n">
        <v>88342.73</v>
      </c>
      <c r="G1600" s="16" t="n">
        <f aca="false">ROUND(E1600+F1600,2)</f>
        <v>231144.88</v>
      </c>
    </row>
    <row r="1601" customFormat="false" ht="15" hidden="false" customHeight="false" outlineLevel="0" collapsed="false">
      <c r="A1601" s="14" t="s">
        <v>33</v>
      </c>
      <c r="B1601" s="14" t="n">
        <v>2024</v>
      </c>
      <c r="C1601" s="14" t="n">
        <v>9</v>
      </c>
      <c r="D1601" s="14" t="s">
        <v>58</v>
      </c>
      <c r="E1601" s="15" t="n">
        <v>136271.45</v>
      </c>
      <c r="F1601" s="15" t="n">
        <v>82161.21</v>
      </c>
      <c r="G1601" s="16" t="n">
        <f aca="false">ROUND(E1601+F1601,2)</f>
        <v>218432.66</v>
      </c>
    </row>
    <row r="1602" customFormat="false" ht="15" hidden="false" customHeight="false" outlineLevel="0" collapsed="false">
      <c r="A1602" s="14" t="s">
        <v>33</v>
      </c>
      <c r="B1602" s="14" t="n">
        <v>2024</v>
      </c>
      <c r="C1602" s="14" t="n">
        <v>10</v>
      </c>
      <c r="D1602" s="14" t="s">
        <v>59</v>
      </c>
      <c r="E1602" s="15" t="n">
        <v>151807.62</v>
      </c>
      <c r="F1602" s="15" t="n">
        <v>134424.95</v>
      </c>
      <c r="G1602" s="16" t="n">
        <f aca="false">ROUND(E1602+F1602,2)</f>
        <v>286232.57</v>
      </c>
    </row>
    <row r="1603" customFormat="false" ht="15" hidden="false" customHeight="false" outlineLevel="0" collapsed="false">
      <c r="A1603" s="14" t="s">
        <v>33</v>
      </c>
      <c r="B1603" s="14" t="n">
        <v>2024</v>
      </c>
      <c r="C1603" s="14" t="n">
        <v>11</v>
      </c>
      <c r="D1603" s="14" t="s">
        <v>60</v>
      </c>
      <c r="E1603" s="15" t="n">
        <v>141166.6</v>
      </c>
      <c r="F1603" s="15" t="n">
        <v>82465.51</v>
      </c>
      <c r="G1603" s="16" t="n">
        <f aca="false">ROUND(E1603+F1603,2)</f>
        <v>223632.11</v>
      </c>
    </row>
    <row r="1604" customFormat="false" ht="15" hidden="false" customHeight="false" outlineLevel="0" collapsed="false">
      <c r="A1604" s="14" t="s">
        <v>33</v>
      </c>
      <c r="B1604" s="14" t="n">
        <v>2024</v>
      </c>
      <c r="C1604" s="14" t="n">
        <v>12</v>
      </c>
      <c r="D1604" s="14" t="s">
        <v>61</v>
      </c>
      <c r="E1604" s="15" t="n">
        <v>135419.73</v>
      </c>
      <c r="F1604" s="15" t="n">
        <v>85171.01</v>
      </c>
      <c r="G1604" s="16" t="n">
        <f aca="false">ROUND(E1604+F1604,2)</f>
        <v>220590.74</v>
      </c>
    </row>
    <row r="1605" customFormat="false" ht="15" hidden="false" customHeight="false" outlineLevel="0" collapsed="false">
      <c r="A1605" s="14" t="s">
        <v>33</v>
      </c>
      <c r="B1605" s="14" t="n">
        <v>2025</v>
      </c>
      <c r="C1605" s="14" t="n">
        <v>1</v>
      </c>
      <c r="D1605" s="14" t="s">
        <v>50</v>
      </c>
      <c r="E1605" s="15" t="n">
        <v>149493.75</v>
      </c>
      <c r="F1605" s="15" t="n">
        <v>113737.77</v>
      </c>
      <c r="G1605" s="16" t="n">
        <f aca="false">ROUND(E1605+F1605,2)</f>
        <v>263231.52</v>
      </c>
    </row>
    <row r="1606" customFormat="false" ht="15" hidden="false" customHeight="false" outlineLevel="0" collapsed="false">
      <c r="A1606" s="14" t="s">
        <v>33</v>
      </c>
      <c r="B1606" s="14" t="n">
        <v>2025</v>
      </c>
      <c r="C1606" s="14" t="n">
        <v>2</v>
      </c>
      <c r="D1606" s="14" t="s">
        <v>51</v>
      </c>
      <c r="E1606" s="15" t="n">
        <v>141464.9</v>
      </c>
      <c r="F1606" s="15" t="n">
        <v>92891.17</v>
      </c>
      <c r="G1606" s="16" t="n">
        <f aca="false">ROUND(E1606+F1606,2)</f>
        <v>234356.07</v>
      </c>
    </row>
    <row r="1607" customFormat="false" ht="15" hidden="false" customHeight="false" outlineLevel="0" collapsed="false">
      <c r="A1607" s="14" t="s">
        <v>33</v>
      </c>
      <c r="B1607" s="14" t="n">
        <v>2025</v>
      </c>
      <c r="C1607" s="14" t="n">
        <v>3</v>
      </c>
      <c r="D1607" s="14" t="s">
        <v>52</v>
      </c>
      <c r="E1607" s="15" t="n">
        <v>148309.45</v>
      </c>
      <c r="F1607" s="15" t="n">
        <v>92995.13</v>
      </c>
      <c r="G1607" s="16" t="n">
        <f aca="false">ROUND(E1607+F1607,2)</f>
        <v>241304.58</v>
      </c>
    </row>
    <row r="1608" customFormat="false" ht="15" hidden="false" customHeight="false" outlineLevel="0" collapsed="false">
      <c r="A1608" s="14" t="s">
        <v>33</v>
      </c>
      <c r="B1608" s="14" t="n">
        <v>2025</v>
      </c>
      <c r="C1608" s="14" t="n">
        <v>4</v>
      </c>
      <c r="D1608" s="14" t="s">
        <v>53</v>
      </c>
      <c r="E1608" s="15" t="n">
        <v>181351.59</v>
      </c>
      <c r="F1608" s="15" t="n">
        <v>167767.17</v>
      </c>
      <c r="G1608" s="16" t="n">
        <f aca="false">ROUND(E1608+F1608,2)</f>
        <v>349118.76</v>
      </c>
    </row>
    <row r="1609" customFormat="false" ht="15" hidden="false" customHeight="false" outlineLevel="0" collapsed="false">
      <c r="A1609" s="14" t="s">
        <v>33</v>
      </c>
      <c r="B1609" s="14" t="n">
        <v>2025</v>
      </c>
      <c r="C1609" s="14" t="n">
        <v>5</v>
      </c>
      <c r="D1609" s="14" t="s">
        <v>54</v>
      </c>
      <c r="E1609" s="15" t="n">
        <v>148677.94</v>
      </c>
      <c r="F1609" s="15" t="n">
        <v>94503.26</v>
      </c>
      <c r="G1609" s="16" t="n">
        <f aca="false">ROUND(E1609+F1609,2)</f>
        <v>243181.2</v>
      </c>
    </row>
    <row r="1610" customFormat="false" ht="15" hidden="false" customHeight="false" outlineLevel="0" collapsed="false">
      <c r="A1610" s="14" t="s">
        <v>33</v>
      </c>
      <c r="B1610" s="14" t="n">
        <v>2025</v>
      </c>
      <c r="C1610" s="14" t="n">
        <v>6</v>
      </c>
      <c r="D1610" s="14" t="s">
        <v>55</v>
      </c>
      <c r="E1610" s="15" t="n">
        <v>156671.22</v>
      </c>
      <c r="F1610" s="15" t="n">
        <v>92028.9</v>
      </c>
      <c r="G1610" s="16" t="n">
        <f aca="false">ROUND(E1610+F1610,2)</f>
        <v>248700.12</v>
      </c>
    </row>
    <row r="1611" customFormat="false" ht="15" hidden="false" customHeight="false" outlineLevel="0" collapsed="false">
      <c r="A1611" s="14" t="s">
        <v>33</v>
      </c>
      <c r="B1611" s="14" t="n">
        <v>2025</v>
      </c>
      <c r="C1611" s="14" t="n">
        <v>7</v>
      </c>
      <c r="D1611" s="14" t="s">
        <v>56</v>
      </c>
      <c r="E1611" s="15" t="n">
        <v>155885.75</v>
      </c>
      <c r="F1611" s="15" t="n">
        <v>102948.71</v>
      </c>
      <c r="G1611" s="16" t="n">
        <f aca="false">ROUND(E1611+F1611,2)</f>
        <v>258834.46</v>
      </c>
    </row>
    <row r="1612" customFormat="false" ht="15" hidden="false" customHeight="false" outlineLevel="0" collapsed="false">
      <c r="A1612" s="14" t="s">
        <v>33</v>
      </c>
      <c r="B1612" s="14" t="n">
        <v>2025</v>
      </c>
      <c r="C1612" s="14" t="n">
        <v>8</v>
      </c>
      <c r="D1612" s="14" t="s">
        <v>57</v>
      </c>
      <c r="E1612" s="15" t="n">
        <v>153844.48</v>
      </c>
      <c r="F1612" s="15" t="n">
        <v>97165.98</v>
      </c>
      <c r="G1612" s="16" t="n">
        <f aca="false">ROUND(E1612+F1612,2)</f>
        <v>251010.46</v>
      </c>
    </row>
    <row r="1613" customFormat="false" ht="15" hidden="false" customHeight="false" outlineLevel="0" collapsed="false">
      <c r="A1613" s="14" t="s">
        <v>33</v>
      </c>
      <c r="B1613" s="14" t="n">
        <v>2025</v>
      </c>
      <c r="C1613" s="14" t="n">
        <v>9</v>
      </c>
      <c r="D1613" s="14" t="s">
        <v>58</v>
      </c>
      <c r="E1613" s="15" t="n">
        <v>148965.11</v>
      </c>
      <c r="F1613" s="15" t="n">
        <v>93491</v>
      </c>
      <c r="G1613" s="16" t="n">
        <f aca="false">ROUND(E1613+F1613,2)</f>
        <v>242456.11</v>
      </c>
    </row>
    <row r="1614" customFormat="false" ht="15" hidden="false" customHeight="false" outlineLevel="0" collapsed="false">
      <c r="A1614" s="14" t="s">
        <v>33</v>
      </c>
      <c r="B1614" s="14" t="n">
        <v>2025</v>
      </c>
      <c r="C1614" s="14" t="n">
        <v>10</v>
      </c>
      <c r="D1614" s="14" t="s">
        <v>59</v>
      </c>
      <c r="E1614" s="15" t="n">
        <v>196163.17</v>
      </c>
      <c r="F1614" s="15" t="n">
        <v>122480.94</v>
      </c>
      <c r="G1614" s="16" t="n">
        <f aca="false">ROUND(E1614+F1614,2)</f>
        <v>318644.11</v>
      </c>
    </row>
    <row r="1615" customFormat="false" ht="15" hidden="false" customHeight="false" outlineLevel="0" collapsed="false">
      <c r="A1615" s="14" t="s">
        <v>33</v>
      </c>
      <c r="B1615" s="14" t="n">
        <v>2025</v>
      </c>
      <c r="C1615" s="14" t="n">
        <v>11</v>
      </c>
      <c r="D1615" s="14" t="s">
        <v>60</v>
      </c>
      <c r="E1615" s="15" t="n">
        <v>148718.99</v>
      </c>
      <c r="F1615" s="15" t="n">
        <v>84660.24</v>
      </c>
      <c r="G1615" s="16" t="n">
        <f aca="false">ROUND(E1615+F1615,2)</f>
        <v>233379.23</v>
      </c>
    </row>
    <row r="1616" customFormat="false" ht="15" hidden="false" customHeight="false" outlineLevel="0" collapsed="false">
      <c r="A1616" s="14" t="s">
        <v>33</v>
      </c>
      <c r="B1616" s="14" t="n">
        <v>2025</v>
      </c>
      <c r="C1616" s="14" t="n">
        <v>12</v>
      </c>
      <c r="D1616" s="14" t="s">
        <v>61</v>
      </c>
      <c r="E1616" s="15" t="n">
        <v>167906.32</v>
      </c>
      <c r="F1616" s="15" t="n">
        <v>106750.73</v>
      </c>
      <c r="G1616" s="16" t="n">
        <f aca="false">ROUND(E1616+F1616,2)</f>
        <v>274657.05</v>
      </c>
    </row>
    <row r="1617" customFormat="false" ht="15" hidden="false" customHeight="false" outlineLevel="0" collapsed="false">
      <c r="A1617" s="14" t="s">
        <v>33</v>
      </c>
      <c r="B1617" s="14" t="n">
        <v>2026</v>
      </c>
      <c r="C1617" s="14" t="n">
        <v>1</v>
      </c>
      <c r="D1617" s="14" t="s">
        <v>50</v>
      </c>
      <c r="E1617" s="15" t="n">
        <v>163433.13</v>
      </c>
      <c r="F1617" s="15" t="n">
        <v>117746.86</v>
      </c>
      <c r="G1617" s="16" t="n">
        <f aca="false">ROUND(E1617+F1617,2)</f>
        <v>281179.99</v>
      </c>
    </row>
    <row r="1618" customFormat="false" ht="15" hidden="false" customHeight="false" outlineLevel="0" collapsed="false">
      <c r="A1618" s="14" t="s">
        <v>33</v>
      </c>
      <c r="B1618" s="14" t="n">
        <v>2026</v>
      </c>
      <c r="C1618" s="14" t="n">
        <v>2</v>
      </c>
      <c r="D1618" s="14" t="s">
        <v>51</v>
      </c>
      <c r="E1618" s="15" t="n">
        <v>181432.86</v>
      </c>
      <c r="F1618" s="15" t="n">
        <v>97316.61</v>
      </c>
      <c r="G1618" s="16" t="n">
        <f aca="false">ROUND(E1618+F1618,2)</f>
        <v>278749.47</v>
      </c>
    </row>
    <row r="1619" customFormat="false" ht="15" hidden="false" customHeight="false" outlineLevel="0" collapsed="false">
      <c r="A1619" s="14" t="s">
        <v>33</v>
      </c>
      <c r="B1619" s="14" t="n">
        <v>2026</v>
      </c>
      <c r="C1619" s="14" t="n">
        <v>3</v>
      </c>
      <c r="D1619" s="14" t="s">
        <v>52</v>
      </c>
      <c r="E1619" s="15" t="n">
        <v>185669.74</v>
      </c>
      <c r="F1619" s="15" t="n">
        <v>118434.99</v>
      </c>
      <c r="G1619" s="16" t="n">
        <f aca="false">ROUND(E1619+F1619,2)</f>
        <v>304104.73</v>
      </c>
    </row>
    <row r="1620" customFormat="false" ht="15" hidden="false" customHeight="false" outlineLevel="0" collapsed="false">
      <c r="A1620" s="14" t="s">
        <v>33</v>
      </c>
      <c r="B1620" s="14" t="n">
        <v>2026</v>
      </c>
      <c r="C1620" s="14" t="n">
        <v>4</v>
      </c>
      <c r="D1620" s="14" t="s">
        <v>53</v>
      </c>
      <c r="E1620" s="15" t="n">
        <v>187496.4</v>
      </c>
      <c r="F1620" s="15" t="n">
        <v>166645.04</v>
      </c>
      <c r="G1620" s="16" t="n">
        <f aca="false">ROUND(E1620+F1620,2)</f>
        <v>354141.44</v>
      </c>
    </row>
    <row r="1621" customFormat="false" ht="15" hidden="false" customHeight="false" outlineLevel="0" collapsed="false">
      <c r="A1621" s="14" t="s">
        <v>33</v>
      </c>
      <c r="B1621" s="14" t="n">
        <v>2026</v>
      </c>
      <c r="C1621" s="14" t="n">
        <v>5</v>
      </c>
      <c r="D1621" s="14" t="s">
        <v>54</v>
      </c>
      <c r="E1621" s="15" t="n">
        <v>172354.13</v>
      </c>
      <c r="F1621" s="15" t="n">
        <v>101829.87</v>
      </c>
      <c r="G1621" s="16" t="n">
        <f aca="false">ROUND(E1621+F1621,2)</f>
        <v>274184</v>
      </c>
    </row>
    <row r="1622" customFormat="false" ht="15" hidden="false" customHeight="false" outlineLevel="0" collapsed="false">
      <c r="A1622" s="14" t="s">
        <v>33</v>
      </c>
      <c r="B1622" s="14" t="n">
        <v>2026</v>
      </c>
      <c r="C1622" s="14" t="n">
        <v>6</v>
      </c>
      <c r="D1622" s="14" t="s">
        <v>55</v>
      </c>
      <c r="E1622" s="15" t="n">
        <v>178290.99</v>
      </c>
      <c r="F1622" s="15" t="n">
        <v>137816.89</v>
      </c>
      <c r="G1622" s="16" t="n">
        <f aca="false">ROUND(E1622+F1622,2)</f>
        <v>316107.88</v>
      </c>
    </row>
    <row r="1623" customFormat="false" ht="15" hidden="false" customHeight="false" outlineLevel="0" collapsed="false">
      <c r="A1623" s="14" t="s">
        <v>33</v>
      </c>
      <c r="B1623" s="14" t="n">
        <v>2026</v>
      </c>
      <c r="C1623" s="14" t="n">
        <v>7</v>
      </c>
      <c r="D1623" s="14" t="s">
        <v>56</v>
      </c>
      <c r="E1623" s="15" t="n">
        <v>188829.45</v>
      </c>
      <c r="F1623" s="15" t="n">
        <v>128869.76</v>
      </c>
      <c r="G1623" s="16" t="n">
        <f aca="false">ROUND(E1623+F1623,2)</f>
        <v>317699.21</v>
      </c>
    </row>
    <row r="1624" customFormat="false" ht="15" hidden="false" customHeight="false" outlineLevel="0" collapsed="false">
      <c r="A1624" s="14" t="s">
        <v>31</v>
      </c>
      <c r="B1624" s="14" t="n">
        <v>2021</v>
      </c>
      <c r="C1624" s="14" t="n">
        <v>1</v>
      </c>
      <c r="D1624" s="14" t="s">
        <v>50</v>
      </c>
      <c r="E1624" s="15" t="n">
        <v>108445.32</v>
      </c>
      <c r="F1624" s="15" t="n">
        <v>61142.33</v>
      </c>
      <c r="G1624" s="16" t="n">
        <f aca="false">ROUND(E1624+F1624,2)</f>
        <v>169587.65</v>
      </c>
    </row>
    <row r="1625" customFormat="false" ht="15" hidden="false" customHeight="false" outlineLevel="0" collapsed="false">
      <c r="A1625" s="14" t="s">
        <v>31</v>
      </c>
      <c r="B1625" s="14" t="n">
        <v>2021</v>
      </c>
      <c r="C1625" s="14" t="n">
        <v>2</v>
      </c>
      <c r="D1625" s="14" t="s">
        <v>51</v>
      </c>
      <c r="E1625" s="15" t="n">
        <v>106605.8</v>
      </c>
      <c r="F1625" s="15" t="n">
        <v>50690.39</v>
      </c>
      <c r="G1625" s="16" t="n">
        <f aca="false">ROUND(E1625+F1625,2)</f>
        <v>157296.19</v>
      </c>
    </row>
    <row r="1626" customFormat="false" ht="15" hidden="false" customHeight="false" outlineLevel="0" collapsed="false">
      <c r="A1626" s="14" t="s">
        <v>31</v>
      </c>
      <c r="B1626" s="14" t="n">
        <v>2021</v>
      </c>
      <c r="C1626" s="14" t="n">
        <v>3</v>
      </c>
      <c r="D1626" s="14" t="s">
        <v>52</v>
      </c>
      <c r="E1626" s="15" t="n">
        <v>116339.43</v>
      </c>
      <c r="F1626" s="15" t="n">
        <v>67836.08</v>
      </c>
      <c r="G1626" s="16" t="n">
        <f aca="false">ROUND(E1626+F1626,2)</f>
        <v>184175.51</v>
      </c>
    </row>
    <row r="1627" customFormat="false" ht="15" hidden="false" customHeight="false" outlineLevel="0" collapsed="false">
      <c r="A1627" s="14" t="s">
        <v>31</v>
      </c>
      <c r="B1627" s="14" t="n">
        <v>2021</v>
      </c>
      <c r="C1627" s="14" t="n">
        <v>4</v>
      </c>
      <c r="D1627" s="14" t="s">
        <v>53</v>
      </c>
      <c r="E1627" s="15" t="n">
        <v>136839.49</v>
      </c>
      <c r="F1627" s="15" t="n">
        <v>79399.56</v>
      </c>
      <c r="G1627" s="16" t="n">
        <f aca="false">ROUND(E1627+F1627,2)</f>
        <v>216239.05</v>
      </c>
    </row>
    <row r="1628" customFormat="false" ht="15" hidden="false" customHeight="false" outlineLevel="0" collapsed="false">
      <c r="A1628" s="14" t="s">
        <v>31</v>
      </c>
      <c r="B1628" s="14" t="n">
        <v>2021</v>
      </c>
      <c r="C1628" s="14" t="n">
        <v>5</v>
      </c>
      <c r="D1628" s="14" t="s">
        <v>54</v>
      </c>
      <c r="E1628" s="15" t="n">
        <v>105294.2</v>
      </c>
      <c r="F1628" s="15" t="n">
        <v>70306.78</v>
      </c>
      <c r="G1628" s="16" t="n">
        <f aca="false">ROUND(E1628+F1628,2)</f>
        <v>175600.98</v>
      </c>
    </row>
    <row r="1629" customFormat="false" ht="15" hidden="false" customHeight="false" outlineLevel="0" collapsed="false">
      <c r="A1629" s="14" t="s">
        <v>31</v>
      </c>
      <c r="B1629" s="14" t="n">
        <v>2021</v>
      </c>
      <c r="C1629" s="14" t="n">
        <v>6</v>
      </c>
      <c r="D1629" s="14" t="s">
        <v>55</v>
      </c>
      <c r="E1629" s="15" t="n">
        <v>130682.33</v>
      </c>
      <c r="F1629" s="15" t="n">
        <v>77964.89</v>
      </c>
      <c r="G1629" s="16" t="n">
        <f aca="false">ROUND(E1629+F1629,2)</f>
        <v>208647.22</v>
      </c>
    </row>
    <row r="1630" customFormat="false" ht="15" hidden="false" customHeight="false" outlineLevel="0" collapsed="false">
      <c r="A1630" s="14" t="s">
        <v>31</v>
      </c>
      <c r="B1630" s="14" t="n">
        <v>2021</v>
      </c>
      <c r="C1630" s="14" t="n">
        <v>7</v>
      </c>
      <c r="D1630" s="14" t="s">
        <v>56</v>
      </c>
      <c r="E1630" s="15" t="n">
        <v>123902.42</v>
      </c>
      <c r="F1630" s="15" t="n">
        <v>81427.96</v>
      </c>
      <c r="G1630" s="16" t="n">
        <f aca="false">ROUND(E1630+F1630,2)</f>
        <v>205330.38</v>
      </c>
    </row>
    <row r="1631" customFormat="false" ht="15" hidden="false" customHeight="false" outlineLevel="0" collapsed="false">
      <c r="A1631" s="14" t="s">
        <v>31</v>
      </c>
      <c r="B1631" s="14" t="n">
        <v>2021</v>
      </c>
      <c r="C1631" s="14" t="n">
        <v>8</v>
      </c>
      <c r="D1631" s="14" t="s">
        <v>57</v>
      </c>
      <c r="E1631" s="15" t="n">
        <v>106729.29</v>
      </c>
      <c r="F1631" s="15" t="n">
        <v>64299.13</v>
      </c>
      <c r="G1631" s="16" t="n">
        <f aca="false">ROUND(E1631+F1631,2)</f>
        <v>171028.42</v>
      </c>
    </row>
    <row r="1632" customFormat="false" ht="15" hidden="false" customHeight="false" outlineLevel="0" collapsed="false">
      <c r="A1632" s="14" t="s">
        <v>31</v>
      </c>
      <c r="B1632" s="14" t="n">
        <v>2021</v>
      </c>
      <c r="C1632" s="14" t="n">
        <v>9</v>
      </c>
      <c r="D1632" s="14" t="s">
        <v>58</v>
      </c>
      <c r="E1632" s="15" t="n">
        <v>103245.21</v>
      </c>
      <c r="F1632" s="15" t="n">
        <v>69561.83</v>
      </c>
      <c r="G1632" s="16" t="n">
        <f aca="false">ROUND(E1632+F1632,2)</f>
        <v>172807.04</v>
      </c>
    </row>
    <row r="1633" customFormat="false" ht="15" hidden="false" customHeight="false" outlineLevel="0" collapsed="false">
      <c r="A1633" s="14" t="s">
        <v>31</v>
      </c>
      <c r="B1633" s="14" t="n">
        <v>2021</v>
      </c>
      <c r="C1633" s="14" t="n">
        <v>10</v>
      </c>
      <c r="D1633" s="14" t="s">
        <v>59</v>
      </c>
      <c r="E1633" s="15" t="n">
        <v>104671.13</v>
      </c>
      <c r="F1633" s="15" t="n">
        <v>67566.77</v>
      </c>
      <c r="G1633" s="16" t="n">
        <f aca="false">ROUND(E1633+F1633,2)</f>
        <v>172237.9</v>
      </c>
    </row>
    <row r="1634" customFormat="false" ht="15" hidden="false" customHeight="false" outlineLevel="0" collapsed="false">
      <c r="A1634" s="14" t="s">
        <v>31</v>
      </c>
      <c r="B1634" s="14" t="n">
        <v>2021</v>
      </c>
      <c r="C1634" s="14" t="n">
        <v>11</v>
      </c>
      <c r="D1634" s="14" t="s">
        <v>60</v>
      </c>
      <c r="E1634" s="15" t="n">
        <v>111813.63</v>
      </c>
      <c r="F1634" s="15" t="n">
        <v>76691.14</v>
      </c>
      <c r="G1634" s="16" t="n">
        <f aca="false">ROUND(E1634+F1634,2)</f>
        <v>188504.77</v>
      </c>
    </row>
    <row r="1635" customFormat="false" ht="15" hidden="false" customHeight="false" outlineLevel="0" collapsed="false">
      <c r="A1635" s="14" t="s">
        <v>31</v>
      </c>
      <c r="B1635" s="14" t="n">
        <v>2021</v>
      </c>
      <c r="C1635" s="14" t="n">
        <v>12</v>
      </c>
      <c r="D1635" s="14" t="s">
        <v>61</v>
      </c>
      <c r="E1635" s="15" t="n">
        <v>110667.5</v>
      </c>
      <c r="F1635" s="15" t="n">
        <v>65944.69</v>
      </c>
      <c r="G1635" s="16" t="n">
        <f aca="false">ROUND(E1635+F1635,2)</f>
        <v>176612.19</v>
      </c>
    </row>
    <row r="1636" customFormat="false" ht="15" hidden="false" customHeight="false" outlineLevel="0" collapsed="false">
      <c r="A1636" s="14" t="s">
        <v>31</v>
      </c>
      <c r="B1636" s="14" t="n">
        <v>2022</v>
      </c>
      <c r="C1636" s="14" t="n">
        <v>1</v>
      </c>
      <c r="D1636" s="14" t="s">
        <v>50</v>
      </c>
      <c r="E1636" s="15" t="n">
        <v>119398.79</v>
      </c>
      <c r="F1636" s="15" t="n">
        <v>78675.71</v>
      </c>
      <c r="G1636" s="16" t="n">
        <f aca="false">ROUND(E1636+F1636,2)</f>
        <v>198074.5</v>
      </c>
    </row>
    <row r="1637" customFormat="false" ht="15" hidden="false" customHeight="false" outlineLevel="0" collapsed="false">
      <c r="A1637" s="14" t="s">
        <v>31</v>
      </c>
      <c r="B1637" s="14" t="n">
        <v>2022</v>
      </c>
      <c r="C1637" s="14" t="n">
        <v>2</v>
      </c>
      <c r="D1637" s="14" t="s">
        <v>51</v>
      </c>
      <c r="E1637" s="15" t="n">
        <v>120153.48</v>
      </c>
      <c r="F1637" s="15" t="n">
        <v>70227.26</v>
      </c>
      <c r="G1637" s="16" t="n">
        <f aca="false">ROUND(E1637+F1637,2)</f>
        <v>190380.74</v>
      </c>
    </row>
    <row r="1638" customFormat="false" ht="15" hidden="false" customHeight="false" outlineLevel="0" collapsed="false">
      <c r="A1638" s="14" t="s">
        <v>31</v>
      </c>
      <c r="B1638" s="14" t="n">
        <v>2022</v>
      </c>
      <c r="C1638" s="14" t="n">
        <v>3</v>
      </c>
      <c r="D1638" s="14" t="s">
        <v>52</v>
      </c>
      <c r="E1638" s="15" t="n">
        <v>124663.07</v>
      </c>
      <c r="F1638" s="15" t="n">
        <v>75263.43</v>
      </c>
      <c r="G1638" s="16" t="n">
        <f aca="false">ROUND(E1638+F1638,2)</f>
        <v>199926.5</v>
      </c>
    </row>
    <row r="1639" customFormat="false" ht="15" hidden="false" customHeight="false" outlineLevel="0" collapsed="false">
      <c r="A1639" s="14" t="s">
        <v>31</v>
      </c>
      <c r="B1639" s="14" t="n">
        <v>2022</v>
      </c>
      <c r="C1639" s="14" t="n">
        <v>4</v>
      </c>
      <c r="D1639" s="14" t="s">
        <v>53</v>
      </c>
      <c r="E1639" s="15" t="n">
        <v>119844.19</v>
      </c>
      <c r="F1639" s="15" t="n">
        <v>80761.14</v>
      </c>
      <c r="G1639" s="16" t="n">
        <f aca="false">ROUND(E1639+F1639,2)</f>
        <v>200605.33</v>
      </c>
    </row>
    <row r="1640" customFormat="false" ht="15" hidden="false" customHeight="false" outlineLevel="0" collapsed="false">
      <c r="A1640" s="14" t="s">
        <v>31</v>
      </c>
      <c r="B1640" s="14" t="n">
        <v>2022</v>
      </c>
      <c r="C1640" s="14" t="n">
        <v>5</v>
      </c>
      <c r="D1640" s="14" t="s">
        <v>54</v>
      </c>
      <c r="E1640" s="15" t="n">
        <v>111626.11</v>
      </c>
      <c r="F1640" s="15" t="n">
        <v>78367.69</v>
      </c>
      <c r="G1640" s="16" t="n">
        <f aca="false">ROUND(E1640+F1640,2)</f>
        <v>189993.8</v>
      </c>
    </row>
    <row r="1641" customFormat="false" ht="15" hidden="false" customHeight="false" outlineLevel="0" collapsed="false">
      <c r="A1641" s="14" t="s">
        <v>31</v>
      </c>
      <c r="B1641" s="14" t="n">
        <v>2022</v>
      </c>
      <c r="C1641" s="14" t="n">
        <v>6</v>
      </c>
      <c r="D1641" s="14" t="s">
        <v>55</v>
      </c>
      <c r="E1641" s="15" t="n">
        <v>123208.53</v>
      </c>
      <c r="F1641" s="15" t="n">
        <v>76704.67</v>
      </c>
      <c r="G1641" s="16" t="n">
        <f aca="false">ROUND(E1641+F1641,2)</f>
        <v>199913.2</v>
      </c>
    </row>
    <row r="1642" customFormat="false" ht="15" hidden="false" customHeight="false" outlineLevel="0" collapsed="false">
      <c r="A1642" s="14" t="s">
        <v>31</v>
      </c>
      <c r="B1642" s="14" t="n">
        <v>2022</v>
      </c>
      <c r="C1642" s="14" t="n">
        <v>7</v>
      </c>
      <c r="D1642" s="14" t="s">
        <v>56</v>
      </c>
      <c r="E1642" s="15" t="n">
        <v>121875.78</v>
      </c>
      <c r="F1642" s="15" t="n">
        <v>75609.92</v>
      </c>
      <c r="G1642" s="16" t="n">
        <f aca="false">ROUND(E1642+F1642,2)</f>
        <v>197485.7</v>
      </c>
    </row>
    <row r="1643" customFormat="false" ht="15" hidden="false" customHeight="false" outlineLevel="0" collapsed="false">
      <c r="A1643" s="14" t="s">
        <v>31</v>
      </c>
      <c r="B1643" s="14" t="n">
        <v>2022</v>
      </c>
      <c r="C1643" s="14" t="n">
        <v>8</v>
      </c>
      <c r="D1643" s="14" t="s">
        <v>57</v>
      </c>
      <c r="E1643" s="15" t="n">
        <v>141724.6</v>
      </c>
      <c r="F1643" s="15" t="n">
        <v>94096.36</v>
      </c>
      <c r="G1643" s="16" t="n">
        <f aca="false">ROUND(E1643+F1643,2)</f>
        <v>235820.96</v>
      </c>
    </row>
    <row r="1644" customFormat="false" ht="15" hidden="false" customHeight="false" outlineLevel="0" collapsed="false">
      <c r="A1644" s="14" t="s">
        <v>31</v>
      </c>
      <c r="B1644" s="14" t="n">
        <v>2022</v>
      </c>
      <c r="C1644" s="14" t="n">
        <v>9</v>
      </c>
      <c r="D1644" s="14" t="s">
        <v>58</v>
      </c>
      <c r="E1644" s="15" t="n">
        <v>125634.06</v>
      </c>
      <c r="F1644" s="15" t="n">
        <v>91657.34</v>
      </c>
      <c r="G1644" s="16" t="n">
        <f aca="false">ROUND(E1644+F1644,2)</f>
        <v>217291.4</v>
      </c>
    </row>
    <row r="1645" customFormat="false" ht="15" hidden="false" customHeight="false" outlineLevel="0" collapsed="false">
      <c r="A1645" s="14" t="s">
        <v>31</v>
      </c>
      <c r="B1645" s="14" t="n">
        <v>2022</v>
      </c>
      <c r="C1645" s="14" t="n">
        <v>10</v>
      </c>
      <c r="D1645" s="14" t="s">
        <v>59</v>
      </c>
      <c r="E1645" s="15" t="n">
        <v>122129.64</v>
      </c>
      <c r="F1645" s="15" t="n">
        <v>90667.4</v>
      </c>
      <c r="G1645" s="16" t="n">
        <f aca="false">ROUND(E1645+F1645,2)</f>
        <v>212797.04</v>
      </c>
    </row>
    <row r="1646" customFormat="false" ht="15" hidden="false" customHeight="false" outlineLevel="0" collapsed="false">
      <c r="A1646" s="14" t="s">
        <v>31</v>
      </c>
      <c r="B1646" s="14" t="n">
        <v>2022</v>
      </c>
      <c r="C1646" s="14" t="n">
        <v>11</v>
      </c>
      <c r="D1646" s="14" t="s">
        <v>60</v>
      </c>
      <c r="E1646" s="15" t="n">
        <v>113464.46</v>
      </c>
      <c r="F1646" s="15" t="n">
        <v>127829.27</v>
      </c>
      <c r="G1646" s="16" t="n">
        <f aca="false">ROUND(E1646+F1646,2)</f>
        <v>241293.73</v>
      </c>
    </row>
    <row r="1647" customFormat="false" ht="15" hidden="false" customHeight="false" outlineLevel="0" collapsed="false">
      <c r="A1647" s="14" t="s">
        <v>31</v>
      </c>
      <c r="B1647" s="14" t="n">
        <v>2022</v>
      </c>
      <c r="C1647" s="14" t="n">
        <v>12</v>
      </c>
      <c r="D1647" s="14" t="s">
        <v>61</v>
      </c>
      <c r="E1647" s="15" t="n">
        <v>124493.92</v>
      </c>
      <c r="F1647" s="15" t="n">
        <v>74391.4</v>
      </c>
      <c r="G1647" s="16" t="n">
        <f aca="false">ROUND(E1647+F1647,2)</f>
        <v>198885.32</v>
      </c>
    </row>
    <row r="1648" customFormat="false" ht="15" hidden="false" customHeight="false" outlineLevel="0" collapsed="false">
      <c r="A1648" s="14" t="s">
        <v>31</v>
      </c>
      <c r="B1648" s="14" t="n">
        <v>2023</v>
      </c>
      <c r="C1648" s="14" t="n">
        <v>1</v>
      </c>
      <c r="D1648" s="14" t="s">
        <v>50</v>
      </c>
      <c r="E1648" s="15" t="n">
        <v>148846.37</v>
      </c>
      <c r="F1648" s="15" t="n">
        <v>84689.62</v>
      </c>
      <c r="G1648" s="16" t="n">
        <f aca="false">ROUND(E1648+F1648,2)</f>
        <v>233535.99</v>
      </c>
    </row>
    <row r="1649" customFormat="false" ht="15" hidden="false" customHeight="false" outlineLevel="0" collapsed="false">
      <c r="A1649" s="14" t="s">
        <v>31</v>
      </c>
      <c r="B1649" s="14" t="n">
        <v>2023</v>
      </c>
      <c r="C1649" s="14" t="n">
        <v>2</v>
      </c>
      <c r="D1649" s="14" t="s">
        <v>51</v>
      </c>
      <c r="E1649" s="15" t="n">
        <v>133260.49</v>
      </c>
      <c r="F1649" s="15" t="n">
        <v>70398.52</v>
      </c>
      <c r="G1649" s="16" t="n">
        <f aca="false">ROUND(E1649+F1649,2)</f>
        <v>203659.01</v>
      </c>
    </row>
    <row r="1650" customFormat="false" ht="15" hidden="false" customHeight="false" outlineLevel="0" collapsed="false">
      <c r="A1650" s="14" t="s">
        <v>31</v>
      </c>
      <c r="B1650" s="14" t="n">
        <v>2023</v>
      </c>
      <c r="C1650" s="14" t="n">
        <v>3</v>
      </c>
      <c r="D1650" s="14" t="s">
        <v>52</v>
      </c>
      <c r="E1650" s="15" t="n">
        <v>159806.21</v>
      </c>
      <c r="F1650" s="15" t="n">
        <v>92753.86</v>
      </c>
      <c r="G1650" s="16" t="n">
        <f aca="false">ROUND(E1650+F1650,2)</f>
        <v>252560.07</v>
      </c>
    </row>
    <row r="1651" customFormat="false" ht="15" hidden="false" customHeight="false" outlineLevel="0" collapsed="false">
      <c r="A1651" s="14" t="s">
        <v>31</v>
      </c>
      <c r="B1651" s="14" t="n">
        <v>2023</v>
      </c>
      <c r="C1651" s="14" t="n">
        <v>4</v>
      </c>
      <c r="D1651" s="14" t="s">
        <v>53</v>
      </c>
      <c r="E1651" s="15" t="n">
        <v>128745.2</v>
      </c>
      <c r="F1651" s="15" t="n">
        <v>69252.93</v>
      </c>
      <c r="G1651" s="16" t="n">
        <f aca="false">ROUND(E1651+F1651,2)</f>
        <v>197998.13</v>
      </c>
    </row>
    <row r="1652" customFormat="false" ht="15" hidden="false" customHeight="false" outlineLevel="0" collapsed="false">
      <c r="A1652" s="14" t="s">
        <v>31</v>
      </c>
      <c r="B1652" s="14" t="n">
        <v>2023</v>
      </c>
      <c r="C1652" s="14" t="n">
        <v>5</v>
      </c>
      <c r="D1652" s="14" t="s">
        <v>54</v>
      </c>
      <c r="E1652" s="15" t="n">
        <v>156642.27</v>
      </c>
      <c r="F1652" s="15" t="n">
        <v>95961.09</v>
      </c>
      <c r="G1652" s="16" t="n">
        <f aca="false">ROUND(E1652+F1652,2)</f>
        <v>252603.36</v>
      </c>
    </row>
    <row r="1653" customFormat="false" ht="15" hidden="false" customHeight="false" outlineLevel="0" collapsed="false">
      <c r="A1653" s="14" t="s">
        <v>31</v>
      </c>
      <c r="B1653" s="14" t="n">
        <v>2023</v>
      </c>
      <c r="C1653" s="14" t="n">
        <v>6</v>
      </c>
      <c r="D1653" s="14" t="s">
        <v>55</v>
      </c>
      <c r="E1653" s="15" t="n">
        <v>163886.82</v>
      </c>
      <c r="F1653" s="15" t="n">
        <v>91623.81</v>
      </c>
      <c r="G1653" s="16" t="n">
        <f aca="false">ROUND(E1653+F1653,2)</f>
        <v>255510.63</v>
      </c>
    </row>
    <row r="1654" customFormat="false" ht="15" hidden="false" customHeight="false" outlineLevel="0" collapsed="false">
      <c r="A1654" s="14" t="s">
        <v>31</v>
      </c>
      <c r="B1654" s="14" t="n">
        <v>2023</v>
      </c>
      <c r="C1654" s="14" t="n">
        <v>7</v>
      </c>
      <c r="D1654" s="14" t="s">
        <v>56</v>
      </c>
      <c r="E1654" s="15" t="n">
        <v>172816.65</v>
      </c>
      <c r="F1654" s="15" t="n">
        <v>84836.25</v>
      </c>
      <c r="G1654" s="16" t="n">
        <f aca="false">ROUND(E1654+F1654,2)</f>
        <v>257652.9</v>
      </c>
    </row>
    <row r="1655" customFormat="false" ht="15" hidden="false" customHeight="false" outlineLevel="0" collapsed="false">
      <c r="A1655" s="14" t="s">
        <v>31</v>
      </c>
      <c r="B1655" s="14" t="n">
        <v>2023</v>
      </c>
      <c r="C1655" s="14" t="n">
        <v>8</v>
      </c>
      <c r="D1655" s="14" t="s">
        <v>57</v>
      </c>
      <c r="E1655" s="15" t="n">
        <v>186781.21</v>
      </c>
      <c r="F1655" s="15" t="n">
        <v>90389.13</v>
      </c>
      <c r="G1655" s="16" t="n">
        <f aca="false">ROUND(E1655+F1655,2)</f>
        <v>277170.34</v>
      </c>
    </row>
    <row r="1656" customFormat="false" ht="15" hidden="false" customHeight="false" outlineLevel="0" collapsed="false">
      <c r="A1656" s="14" t="s">
        <v>31</v>
      </c>
      <c r="B1656" s="14" t="n">
        <v>2023</v>
      </c>
      <c r="C1656" s="14" t="n">
        <v>9</v>
      </c>
      <c r="D1656" s="14" t="s">
        <v>58</v>
      </c>
      <c r="E1656" s="15" t="n">
        <v>159012.82</v>
      </c>
      <c r="F1656" s="15" t="n">
        <v>69128.6</v>
      </c>
      <c r="G1656" s="16" t="n">
        <f aca="false">ROUND(E1656+F1656,2)</f>
        <v>228141.42</v>
      </c>
    </row>
    <row r="1657" customFormat="false" ht="15" hidden="false" customHeight="false" outlineLevel="0" collapsed="false">
      <c r="A1657" s="14" t="s">
        <v>31</v>
      </c>
      <c r="B1657" s="14" t="n">
        <v>2023</v>
      </c>
      <c r="C1657" s="14" t="n">
        <v>10</v>
      </c>
      <c r="D1657" s="14" t="s">
        <v>59</v>
      </c>
      <c r="E1657" s="15" t="n">
        <v>169730.4</v>
      </c>
      <c r="F1657" s="15" t="n">
        <v>96825.85</v>
      </c>
      <c r="G1657" s="16" t="n">
        <f aca="false">ROUND(E1657+F1657,2)</f>
        <v>266556.25</v>
      </c>
    </row>
    <row r="1658" customFormat="false" ht="15" hidden="false" customHeight="false" outlineLevel="0" collapsed="false">
      <c r="A1658" s="14" t="s">
        <v>31</v>
      </c>
      <c r="B1658" s="14" t="n">
        <v>2023</v>
      </c>
      <c r="C1658" s="14" t="n">
        <v>11</v>
      </c>
      <c r="D1658" s="14" t="s">
        <v>60</v>
      </c>
      <c r="E1658" s="15" t="n">
        <v>191942.7</v>
      </c>
      <c r="F1658" s="15" t="n">
        <v>78435.73</v>
      </c>
      <c r="G1658" s="16" t="n">
        <f aca="false">ROUND(E1658+F1658,2)</f>
        <v>270378.43</v>
      </c>
    </row>
    <row r="1659" customFormat="false" ht="15" hidden="false" customHeight="false" outlineLevel="0" collapsed="false">
      <c r="A1659" s="14" t="s">
        <v>31</v>
      </c>
      <c r="B1659" s="14" t="n">
        <v>2023</v>
      </c>
      <c r="C1659" s="14" t="n">
        <v>12</v>
      </c>
      <c r="D1659" s="14" t="s">
        <v>61</v>
      </c>
      <c r="E1659" s="15" t="n">
        <v>158933.06</v>
      </c>
      <c r="F1659" s="15" t="n">
        <v>68946.15</v>
      </c>
      <c r="G1659" s="16" t="n">
        <f aca="false">ROUND(E1659+F1659,2)</f>
        <v>227879.21</v>
      </c>
    </row>
    <row r="1660" customFormat="false" ht="15" hidden="false" customHeight="false" outlineLevel="0" collapsed="false">
      <c r="A1660" s="14" t="s">
        <v>31</v>
      </c>
      <c r="B1660" s="14" t="n">
        <v>2024</v>
      </c>
      <c r="C1660" s="14" t="n">
        <v>1</v>
      </c>
      <c r="D1660" s="14" t="s">
        <v>50</v>
      </c>
      <c r="E1660" s="15" t="n">
        <v>195350.35</v>
      </c>
      <c r="F1660" s="15" t="n">
        <v>83081.78</v>
      </c>
      <c r="G1660" s="16" t="n">
        <f aca="false">ROUND(E1660+F1660,2)</f>
        <v>278432.13</v>
      </c>
    </row>
    <row r="1661" customFormat="false" ht="15" hidden="false" customHeight="false" outlineLevel="0" collapsed="false">
      <c r="A1661" s="14" t="s">
        <v>31</v>
      </c>
      <c r="B1661" s="14" t="n">
        <v>2024</v>
      </c>
      <c r="C1661" s="14" t="n">
        <v>2</v>
      </c>
      <c r="D1661" s="14" t="s">
        <v>51</v>
      </c>
      <c r="E1661" s="15" t="n">
        <v>183547.82</v>
      </c>
      <c r="F1661" s="15" t="n">
        <v>74904.76</v>
      </c>
      <c r="G1661" s="16" t="n">
        <f aca="false">ROUND(E1661+F1661,2)</f>
        <v>258452.58</v>
      </c>
    </row>
    <row r="1662" customFormat="false" ht="15" hidden="false" customHeight="false" outlineLevel="0" collapsed="false">
      <c r="A1662" s="14" t="s">
        <v>31</v>
      </c>
      <c r="B1662" s="14" t="n">
        <v>2024</v>
      </c>
      <c r="C1662" s="14" t="n">
        <v>3</v>
      </c>
      <c r="D1662" s="14" t="s">
        <v>52</v>
      </c>
      <c r="E1662" s="15" t="n">
        <v>201523.16</v>
      </c>
      <c r="F1662" s="15" t="n">
        <v>79893.97</v>
      </c>
      <c r="G1662" s="16" t="n">
        <f aca="false">ROUND(E1662+F1662,2)</f>
        <v>281417.13</v>
      </c>
    </row>
    <row r="1663" customFormat="false" ht="15" hidden="false" customHeight="false" outlineLevel="0" collapsed="false">
      <c r="A1663" s="14" t="s">
        <v>31</v>
      </c>
      <c r="B1663" s="14" t="n">
        <v>2024</v>
      </c>
      <c r="C1663" s="14" t="n">
        <v>4</v>
      </c>
      <c r="D1663" s="14" t="s">
        <v>53</v>
      </c>
      <c r="E1663" s="15" t="n">
        <v>203485.94</v>
      </c>
      <c r="F1663" s="15" t="n">
        <v>106780.94</v>
      </c>
      <c r="G1663" s="16" t="n">
        <f aca="false">ROUND(E1663+F1663,2)</f>
        <v>310266.88</v>
      </c>
    </row>
    <row r="1664" customFormat="false" ht="15" hidden="false" customHeight="false" outlineLevel="0" collapsed="false">
      <c r="A1664" s="14" t="s">
        <v>31</v>
      </c>
      <c r="B1664" s="14" t="n">
        <v>2024</v>
      </c>
      <c r="C1664" s="14" t="n">
        <v>5</v>
      </c>
      <c r="D1664" s="14" t="s">
        <v>54</v>
      </c>
      <c r="E1664" s="15" t="n">
        <v>191877.16</v>
      </c>
      <c r="F1664" s="15" t="n">
        <v>105726.66</v>
      </c>
      <c r="G1664" s="16" t="n">
        <f aca="false">ROUND(E1664+F1664,2)</f>
        <v>297603.82</v>
      </c>
    </row>
    <row r="1665" customFormat="false" ht="15" hidden="false" customHeight="false" outlineLevel="0" collapsed="false">
      <c r="A1665" s="14" t="s">
        <v>31</v>
      </c>
      <c r="B1665" s="14" t="n">
        <v>2024</v>
      </c>
      <c r="C1665" s="14" t="n">
        <v>6</v>
      </c>
      <c r="D1665" s="14" t="s">
        <v>55</v>
      </c>
      <c r="E1665" s="15" t="n">
        <v>95871.04</v>
      </c>
      <c r="F1665" s="15" t="n">
        <v>49783.5</v>
      </c>
      <c r="G1665" s="16" t="n">
        <f aca="false">ROUND(E1665+F1665,2)</f>
        <v>145654.54</v>
      </c>
    </row>
    <row r="1666" customFormat="false" ht="15" hidden="false" customHeight="false" outlineLevel="0" collapsed="false">
      <c r="A1666" s="14" t="s">
        <v>31</v>
      </c>
      <c r="B1666" s="14" t="n">
        <v>2024</v>
      </c>
      <c r="C1666" s="14" t="n">
        <v>7</v>
      </c>
      <c r="D1666" s="14" t="s">
        <v>56</v>
      </c>
      <c r="E1666" s="15" t="n">
        <v>179866.78</v>
      </c>
      <c r="F1666" s="15" t="n">
        <v>112259.02</v>
      </c>
      <c r="G1666" s="16" t="n">
        <f aca="false">ROUND(E1666+F1666,2)</f>
        <v>292125.8</v>
      </c>
    </row>
    <row r="1667" customFormat="false" ht="15" hidden="false" customHeight="false" outlineLevel="0" collapsed="false">
      <c r="A1667" s="14" t="s">
        <v>31</v>
      </c>
      <c r="B1667" s="14" t="n">
        <v>2024</v>
      </c>
      <c r="C1667" s="14" t="n">
        <v>8</v>
      </c>
      <c r="D1667" s="14" t="s">
        <v>57</v>
      </c>
      <c r="E1667" s="15" t="n">
        <v>210818.72</v>
      </c>
      <c r="F1667" s="15" t="n">
        <v>87920.69</v>
      </c>
      <c r="G1667" s="16" t="n">
        <f aca="false">ROUND(E1667+F1667,2)</f>
        <v>298739.41</v>
      </c>
    </row>
    <row r="1668" customFormat="false" ht="15" hidden="false" customHeight="false" outlineLevel="0" collapsed="false">
      <c r="A1668" s="14" t="s">
        <v>31</v>
      </c>
      <c r="B1668" s="14" t="n">
        <v>2024</v>
      </c>
      <c r="C1668" s="14" t="n">
        <v>9</v>
      </c>
      <c r="D1668" s="14" t="s">
        <v>58</v>
      </c>
      <c r="E1668" s="15" t="n">
        <v>176063.57</v>
      </c>
      <c r="F1668" s="15" t="n">
        <v>99608.25</v>
      </c>
      <c r="G1668" s="16" t="n">
        <f aca="false">ROUND(E1668+F1668,2)</f>
        <v>275671.82</v>
      </c>
    </row>
    <row r="1669" customFormat="false" ht="15" hidden="false" customHeight="false" outlineLevel="0" collapsed="false">
      <c r="A1669" s="14" t="s">
        <v>31</v>
      </c>
      <c r="B1669" s="14" t="n">
        <v>2024</v>
      </c>
      <c r="C1669" s="14" t="n">
        <v>10</v>
      </c>
      <c r="D1669" s="14" t="s">
        <v>59</v>
      </c>
      <c r="E1669" s="15" t="n">
        <v>187567.7</v>
      </c>
      <c r="F1669" s="15" t="n">
        <v>129110.13</v>
      </c>
      <c r="G1669" s="16" t="n">
        <f aca="false">ROUND(E1669+F1669,2)</f>
        <v>316677.83</v>
      </c>
    </row>
    <row r="1670" customFormat="false" ht="15" hidden="false" customHeight="false" outlineLevel="0" collapsed="false">
      <c r="A1670" s="14" t="s">
        <v>31</v>
      </c>
      <c r="B1670" s="14" t="n">
        <v>2024</v>
      </c>
      <c r="C1670" s="14" t="n">
        <v>11</v>
      </c>
      <c r="D1670" s="14" t="s">
        <v>60</v>
      </c>
      <c r="E1670" s="15" t="n">
        <v>188857.24</v>
      </c>
      <c r="F1670" s="15" t="n">
        <v>89979.64</v>
      </c>
      <c r="G1670" s="16" t="n">
        <f aca="false">ROUND(E1670+F1670,2)</f>
        <v>278836.88</v>
      </c>
    </row>
    <row r="1671" customFormat="false" ht="15" hidden="false" customHeight="false" outlineLevel="0" collapsed="false">
      <c r="A1671" s="14" t="s">
        <v>31</v>
      </c>
      <c r="B1671" s="14" t="n">
        <v>2024</v>
      </c>
      <c r="C1671" s="14" t="n">
        <v>12</v>
      </c>
      <c r="D1671" s="14" t="s">
        <v>61</v>
      </c>
      <c r="E1671" s="15" t="n">
        <v>183916.43</v>
      </c>
      <c r="F1671" s="15" t="n">
        <v>108010.02</v>
      </c>
      <c r="G1671" s="16" t="n">
        <f aca="false">ROUND(E1671+F1671,2)</f>
        <v>291926.45</v>
      </c>
    </row>
    <row r="1672" customFormat="false" ht="15" hidden="false" customHeight="false" outlineLevel="0" collapsed="false">
      <c r="A1672" s="14" t="s">
        <v>31</v>
      </c>
      <c r="B1672" s="14" t="n">
        <v>2025</v>
      </c>
      <c r="C1672" s="14" t="n">
        <v>1</v>
      </c>
      <c r="D1672" s="14" t="s">
        <v>50</v>
      </c>
      <c r="E1672" s="15" t="n">
        <v>214096.8</v>
      </c>
      <c r="F1672" s="15" t="n">
        <v>106094.58</v>
      </c>
      <c r="G1672" s="16" t="n">
        <f aca="false">ROUND(E1672+F1672,2)</f>
        <v>320191.38</v>
      </c>
    </row>
    <row r="1673" customFormat="false" ht="15" hidden="false" customHeight="false" outlineLevel="0" collapsed="false">
      <c r="A1673" s="14" t="s">
        <v>31</v>
      </c>
      <c r="B1673" s="14" t="n">
        <v>2025</v>
      </c>
      <c r="C1673" s="14" t="n">
        <v>2</v>
      </c>
      <c r="D1673" s="14" t="s">
        <v>51</v>
      </c>
      <c r="E1673" s="15" t="n">
        <v>238248.08</v>
      </c>
      <c r="F1673" s="15" t="n">
        <v>104588.12</v>
      </c>
      <c r="G1673" s="16" t="n">
        <f aca="false">ROUND(E1673+F1673,2)</f>
        <v>342836.2</v>
      </c>
    </row>
    <row r="1674" customFormat="false" ht="15" hidden="false" customHeight="false" outlineLevel="0" collapsed="false">
      <c r="A1674" s="14" t="s">
        <v>31</v>
      </c>
      <c r="B1674" s="14" t="n">
        <v>2025</v>
      </c>
      <c r="C1674" s="14" t="n">
        <v>3</v>
      </c>
      <c r="D1674" s="14" t="s">
        <v>52</v>
      </c>
      <c r="E1674" s="15" t="n">
        <v>222677.49</v>
      </c>
      <c r="F1674" s="15" t="n">
        <v>102498.93</v>
      </c>
      <c r="G1674" s="16" t="n">
        <f aca="false">ROUND(E1674+F1674,2)</f>
        <v>325176.42</v>
      </c>
    </row>
    <row r="1675" customFormat="false" ht="15" hidden="false" customHeight="false" outlineLevel="0" collapsed="false">
      <c r="A1675" s="14" t="s">
        <v>31</v>
      </c>
      <c r="B1675" s="14" t="n">
        <v>2025</v>
      </c>
      <c r="C1675" s="14" t="n">
        <v>4</v>
      </c>
      <c r="D1675" s="14" t="s">
        <v>53</v>
      </c>
      <c r="E1675" s="15" t="n">
        <v>246272.17</v>
      </c>
      <c r="F1675" s="15" t="n">
        <v>144262.77</v>
      </c>
      <c r="G1675" s="16" t="n">
        <f aca="false">ROUND(E1675+F1675,2)</f>
        <v>390534.94</v>
      </c>
    </row>
    <row r="1676" customFormat="false" ht="15" hidden="false" customHeight="false" outlineLevel="0" collapsed="false">
      <c r="A1676" s="14" t="s">
        <v>31</v>
      </c>
      <c r="B1676" s="14" t="n">
        <v>2025</v>
      </c>
      <c r="C1676" s="14" t="n">
        <v>5</v>
      </c>
      <c r="D1676" s="14" t="s">
        <v>54</v>
      </c>
      <c r="E1676" s="15" t="n">
        <v>225326.81</v>
      </c>
      <c r="F1676" s="15" t="n">
        <v>109208.44</v>
      </c>
      <c r="G1676" s="16" t="n">
        <f aca="false">ROUND(E1676+F1676,2)</f>
        <v>334535.25</v>
      </c>
    </row>
    <row r="1677" customFormat="false" ht="15" hidden="false" customHeight="false" outlineLevel="0" collapsed="false">
      <c r="A1677" s="14" t="s">
        <v>31</v>
      </c>
      <c r="B1677" s="14" t="n">
        <v>2025</v>
      </c>
      <c r="C1677" s="14" t="n">
        <v>6</v>
      </c>
      <c r="D1677" s="14" t="s">
        <v>55</v>
      </c>
      <c r="E1677" s="15" t="n">
        <v>219642.23</v>
      </c>
      <c r="F1677" s="15" t="n">
        <v>115148.29</v>
      </c>
      <c r="G1677" s="16" t="n">
        <f aca="false">ROUND(E1677+F1677,2)</f>
        <v>334790.52</v>
      </c>
    </row>
    <row r="1678" customFormat="false" ht="15" hidden="false" customHeight="false" outlineLevel="0" collapsed="false">
      <c r="A1678" s="14" t="s">
        <v>31</v>
      </c>
      <c r="B1678" s="14" t="n">
        <v>2025</v>
      </c>
      <c r="C1678" s="14" t="n">
        <v>7</v>
      </c>
      <c r="D1678" s="14" t="s">
        <v>56</v>
      </c>
      <c r="E1678" s="15" t="n">
        <v>218016.23</v>
      </c>
      <c r="F1678" s="15" t="n">
        <v>123631.65</v>
      </c>
      <c r="G1678" s="16" t="n">
        <f aca="false">ROUND(E1678+F1678,2)</f>
        <v>341647.88</v>
      </c>
    </row>
    <row r="1679" customFormat="false" ht="15" hidden="false" customHeight="false" outlineLevel="0" collapsed="false">
      <c r="A1679" s="14" t="s">
        <v>31</v>
      </c>
      <c r="B1679" s="14" t="n">
        <v>2025</v>
      </c>
      <c r="C1679" s="14" t="n">
        <v>8</v>
      </c>
      <c r="D1679" s="14" t="s">
        <v>57</v>
      </c>
      <c r="E1679" s="15" t="n">
        <v>216506.99</v>
      </c>
      <c r="F1679" s="15" t="n">
        <v>123522.18</v>
      </c>
      <c r="G1679" s="16" t="n">
        <f aca="false">ROUND(E1679+F1679,2)</f>
        <v>340029.17</v>
      </c>
    </row>
    <row r="1680" customFormat="false" ht="15" hidden="false" customHeight="false" outlineLevel="0" collapsed="false">
      <c r="A1680" s="14" t="s">
        <v>31</v>
      </c>
      <c r="B1680" s="14" t="n">
        <v>2025</v>
      </c>
      <c r="C1680" s="14" t="n">
        <v>9</v>
      </c>
      <c r="D1680" s="14" t="s">
        <v>58</v>
      </c>
      <c r="E1680" s="15" t="n">
        <v>199181.86</v>
      </c>
      <c r="F1680" s="15" t="n">
        <v>114266.37</v>
      </c>
      <c r="G1680" s="16" t="n">
        <f aca="false">ROUND(E1680+F1680,2)</f>
        <v>313448.23</v>
      </c>
    </row>
    <row r="1681" customFormat="false" ht="15" hidden="false" customHeight="false" outlineLevel="0" collapsed="false">
      <c r="A1681" s="14" t="s">
        <v>31</v>
      </c>
      <c r="B1681" s="14" t="n">
        <v>2025</v>
      </c>
      <c r="C1681" s="14" t="n">
        <v>10</v>
      </c>
      <c r="D1681" s="14" t="s">
        <v>59</v>
      </c>
      <c r="E1681" s="15" t="n">
        <v>207018.21</v>
      </c>
      <c r="F1681" s="15" t="n">
        <v>106236.76</v>
      </c>
      <c r="G1681" s="16" t="n">
        <f aca="false">ROUND(E1681+F1681,2)</f>
        <v>313254.97</v>
      </c>
    </row>
    <row r="1682" customFormat="false" ht="15" hidden="false" customHeight="false" outlineLevel="0" collapsed="false">
      <c r="A1682" s="14" t="s">
        <v>31</v>
      </c>
      <c r="B1682" s="14" t="n">
        <v>2025</v>
      </c>
      <c r="C1682" s="14" t="n">
        <v>11</v>
      </c>
      <c r="D1682" s="14" t="s">
        <v>60</v>
      </c>
      <c r="E1682" s="15" t="n">
        <v>196466.36</v>
      </c>
      <c r="F1682" s="15" t="n">
        <v>94450.5</v>
      </c>
      <c r="G1682" s="16" t="n">
        <f aca="false">ROUND(E1682+F1682,2)</f>
        <v>290916.86</v>
      </c>
    </row>
    <row r="1683" customFormat="false" ht="15" hidden="false" customHeight="false" outlineLevel="0" collapsed="false">
      <c r="A1683" s="14" t="s">
        <v>31</v>
      </c>
      <c r="B1683" s="14" t="n">
        <v>2025</v>
      </c>
      <c r="C1683" s="14" t="n">
        <v>12</v>
      </c>
      <c r="D1683" s="14" t="s">
        <v>61</v>
      </c>
      <c r="E1683" s="15" t="n">
        <v>227474.59</v>
      </c>
      <c r="F1683" s="15" t="n">
        <v>132467.08</v>
      </c>
      <c r="G1683" s="16" t="n">
        <f aca="false">ROUND(E1683+F1683,2)</f>
        <v>359941.67</v>
      </c>
    </row>
    <row r="1684" customFormat="false" ht="15" hidden="false" customHeight="false" outlineLevel="0" collapsed="false">
      <c r="A1684" s="14" t="s">
        <v>31</v>
      </c>
      <c r="B1684" s="14" t="n">
        <v>2026</v>
      </c>
      <c r="C1684" s="14" t="n">
        <v>1</v>
      </c>
      <c r="D1684" s="14" t="s">
        <v>50</v>
      </c>
      <c r="E1684" s="15" t="n">
        <v>256312.21</v>
      </c>
      <c r="F1684" s="15" t="n">
        <v>133304.69</v>
      </c>
      <c r="G1684" s="16" t="n">
        <f aca="false">ROUND(E1684+F1684,2)</f>
        <v>389616.9</v>
      </c>
    </row>
    <row r="1685" customFormat="false" ht="15" hidden="false" customHeight="false" outlineLevel="0" collapsed="false">
      <c r="A1685" s="14" t="s">
        <v>31</v>
      </c>
      <c r="B1685" s="14" t="n">
        <v>2026</v>
      </c>
      <c r="C1685" s="14" t="n">
        <v>2</v>
      </c>
      <c r="D1685" s="14" t="s">
        <v>51</v>
      </c>
      <c r="E1685" s="15" t="n">
        <v>230944.38</v>
      </c>
      <c r="F1685" s="15" t="n">
        <v>132944.95</v>
      </c>
      <c r="G1685" s="16" t="n">
        <f aca="false">ROUND(E1685+F1685,2)</f>
        <v>363889.33</v>
      </c>
    </row>
    <row r="1686" customFormat="false" ht="15" hidden="false" customHeight="false" outlineLevel="0" collapsed="false">
      <c r="A1686" s="14" t="s">
        <v>31</v>
      </c>
      <c r="B1686" s="14" t="n">
        <v>2026</v>
      </c>
      <c r="C1686" s="14" t="n">
        <v>3</v>
      </c>
      <c r="D1686" s="14" t="s">
        <v>52</v>
      </c>
      <c r="E1686" s="15" t="n">
        <v>270153.94</v>
      </c>
      <c r="F1686" s="15" t="n">
        <v>145709.43</v>
      </c>
      <c r="G1686" s="16" t="n">
        <f aca="false">ROUND(E1686+F1686,2)</f>
        <v>415863.37</v>
      </c>
    </row>
    <row r="1687" customFormat="false" ht="15" hidden="false" customHeight="false" outlineLevel="0" collapsed="false">
      <c r="A1687" s="14" t="s">
        <v>31</v>
      </c>
      <c r="B1687" s="14" t="n">
        <v>2026</v>
      </c>
      <c r="C1687" s="14" t="n">
        <v>4</v>
      </c>
      <c r="D1687" s="14" t="s">
        <v>53</v>
      </c>
      <c r="E1687" s="15" t="n">
        <v>254707.05</v>
      </c>
      <c r="F1687" s="15" t="n">
        <v>156186.31</v>
      </c>
      <c r="G1687" s="16" t="n">
        <f aca="false">ROUND(E1687+F1687,2)</f>
        <v>410893.36</v>
      </c>
    </row>
    <row r="1688" customFormat="false" ht="15" hidden="false" customHeight="false" outlineLevel="0" collapsed="false">
      <c r="A1688" s="14" t="s">
        <v>31</v>
      </c>
      <c r="B1688" s="14" t="n">
        <v>2026</v>
      </c>
      <c r="C1688" s="14" t="n">
        <v>5</v>
      </c>
      <c r="D1688" s="14" t="s">
        <v>54</v>
      </c>
      <c r="E1688" s="15" t="n">
        <v>231237.53</v>
      </c>
      <c r="F1688" s="15" t="n">
        <v>124661.75</v>
      </c>
      <c r="G1688" s="16" t="n">
        <f aca="false">ROUND(E1688+F1688,2)</f>
        <v>355899.28</v>
      </c>
    </row>
    <row r="1689" customFormat="false" ht="15" hidden="false" customHeight="false" outlineLevel="0" collapsed="false">
      <c r="A1689" s="14" t="s">
        <v>31</v>
      </c>
      <c r="B1689" s="14" t="n">
        <v>2026</v>
      </c>
      <c r="C1689" s="14" t="n">
        <v>6</v>
      </c>
      <c r="D1689" s="14" t="s">
        <v>55</v>
      </c>
      <c r="E1689" s="15" t="n">
        <v>263424.38</v>
      </c>
      <c r="F1689" s="15" t="n">
        <v>174470.39</v>
      </c>
      <c r="G1689" s="16" t="n">
        <f aca="false">ROUND(E1689+F1689,2)</f>
        <v>437894.77</v>
      </c>
    </row>
    <row r="1690" customFormat="false" ht="15" hidden="false" customHeight="false" outlineLevel="0" collapsed="false">
      <c r="A1690" s="14" t="s">
        <v>31</v>
      </c>
      <c r="B1690" s="14" t="n">
        <v>2026</v>
      </c>
      <c r="C1690" s="14" t="n">
        <v>7</v>
      </c>
      <c r="D1690" s="14" t="s">
        <v>56</v>
      </c>
      <c r="E1690" s="15" t="n">
        <v>234895.96</v>
      </c>
      <c r="F1690" s="15" t="n">
        <v>166389.2</v>
      </c>
      <c r="G1690" s="16" t="n">
        <f aca="false">ROUND(E1690+F1690,2)</f>
        <v>401285.16</v>
      </c>
    </row>
    <row r="1691" customFormat="false" ht="15" hidden="false" customHeight="false" outlineLevel="0" collapsed="false">
      <c r="A1691" s="14" t="s">
        <v>22</v>
      </c>
      <c r="B1691" s="14" t="n">
        <v>2021</v>
      </c>
      <c r="C1691" s="14" t="n">
        <v>1</v>
      </c>
      <c r="D1691" s="14" t="s">
        <v>50</v>
      </c>
      <c r="E1691" s="15" t="n">
        <v>192756.52</v>
      </c>
      <c r="F1691" s="15" t="n">
        <v>82389.33</v>
      </c>
      <c r="G1691" s="16" t="n">
        <f aca="false">ROUND(E1691+F1691,2)</f>
        <v>275145.85</v>
      </c>
    </row>
    <row r="1692" customFormat="false" ht="15" hidden="false" customHeight="false" outlineLevel="0" collapsed="false">
      <c r="A1692" s="14" t="s">
        <v>22</v>
      </c>
      <c r="B1692" s="14" t="n">
        <v>2021</v>
      </c>
      <c r="C1692" s="14" t="n">
        <v>2</v>
      </c>
      <c r="D1692" s="14" t="s">
        <v>51</v>
      </c>
      <c r="E1692" s="15" t="n">
        <v>209635.63</v>
      </c>
      <c r="F1692" s="15" t="n">
        <v>101759.14</v>
      </c>
      <c r="G1692" s="16" t="n">
        <f aca="false">ROUND(E1692+F1692,2)</f>
        <v>311394.77</v>
      </c>
    </row>
    <row r="1693" customFormat="false" ht="15" hidden="false" customHeight="false" outlineLevel="0" collapsed="false">
      <c r="A1693" s="14" t="s">
        <v>22</v>
      </c>
      <c r="B1693" s="14" t="n">
        <v>2021</v>
      </c>
      <c r="C1693" s="14" t="n">
        <v>3</v>
      </c>
      <c r="D1693" s="14" t="s">
        <v>52</v>
      </c>
      <c r="E1693" s="15" t="n">
        <v>256354.58</v>
      </c>
      <c r="F1693" s="15" t="n">
        <v>113583.05</v>
      </c>
      <c r="G1693" s="16" t="n">
        <f aca="false">ROUND(E1693+F1693,2)</f>
        <v>369937.63</v>
      </c>
    </row>
    <row r="1694" customFormat="false" ht="15" hidden="false" customHeight="false" outlineLevel="0" collapsed="false">
      <c r="A1694" s="14" t="s">
        <v>22</v>
      </c>
      <c r="B1694" s="14" t="n">
        <v>2021</v>
      </c>
      <c r="C1694" s="14" t="n">
        <v>4</v>
      </c>
      <c r="D1694" s="14" t="s">
        <v>53</v>
      </c>
      <c r="E1694" s="15" t="n">
        <v>311841.73</v>
      </c>
      <c r="F1694" s="15" t="n">
        <v>132262.07</v>
      </c>
      <c r="G1694" s="16" t="n">
        <f aca="false">ROUND(E1694+F1694,2)</f>
        <v>444103.8</v>
      </c>
    </row>
    <row r="1695" customFormat="false" ht="15" hidden="false" customHeight="false" outlineLevel="0" collapsed="false">
      <c r="A1695" s="14" t="s">
        <v>22</v>
      </c>
      <c r="B1695" s="14" t="n">
        <v>2021</v>
      </c>
      <c r="C1695" s="14" t="n">
        <v>5</v>
      </c>
      <c r="D1695" s="14" t="s">
        <v>54</v>
      </c>
      <c r="E1695" s="15" t="n">
        <v>280967.69</v>
      </c>
      <c r="F1695" s="15" t="n">
        <v>122221.22</v>
      </c>
      <c r="G1695" s="16" t="n">
        <f aca="false">ROUND(E1695+F1695,2)</f>
        <v>403188.91</v>
      </c>
    </row>
    <row r="1696" customFormat="false" ht="15" hidden="false" customHeight="false" outlineLevel="0" collapsed="false">
      <c r="A1696" s="14" t="s">
        <v>22</v>
      </c>
      <c r="B1696" s="14" t="n">
        <v>2021</v>
      </c>
      <c r="C1696" s="14" t="n">
        <v>6</v>
      </c>
      <c r="D1696" s="14" t="s">
        <v>55</v>
      </c>
      <c r="E1696" s="15" t="n">
        <v>309315.3</v>
      </c>
      <c r="F1696" s="15" t="n">
        <v>131161.54</v>
      </c>
      <c r="G1696" s="16" t="n">
        <f aca="false">ROUND(E1696+F1696,2)</f>
        <v>440476.84</v>
      </c>
    </row>
    <row r="1697" customFormat="false" ht="15" hidden="false" customHeight="false" outlineLevel="0" collapsed="false">
      <c r="A1697" s="14" t="s">
        <v>22</v>
      </c>
      <c r="B1697" s="14" t="n">
        <v>2021</v>
      </c>
      <c r="C1697" s="14" t="n">
        <v>7</v>
      </c>
      <c r="D1697" s="14" t="s">
        <v>56</v>
      </c>
      <c r="E1697" s="15" t="n">
        <v>270658.94</v>
      </c>
      <c r="F1697" s="15" t="n">
        <v>134351.84</v>
      </c>
      <c r="G1697" s="16" t="n">
        <f aca="false">ROUND(E1697+F1697,2)</f>
        <v>405010.78</v>
      </c>
    </row>
    <row r="1698" customFormat="false" ht="15" hidden="false" customHeight="false" outlineLevel="0" collapsed="false">
      <c r="A1698" s="14" t="s">
        <v>22</v>
      </c>
      <c r="B1698" s="14" t="n">
        <v>2021</v>
      </c>
      <c r="C1698" s="14" t="n">
        <v>8</v>
      </c>
      <c r="D1698" s="14" t="s">
        <v>57</v>
      </c>
      <c r="E1698" s="15" t="n">
        <v>241554.24</v>
      </c>
      <c r="F1698" s="15" t="n">
        <v>114309.69</v>
      </c>
      <c r="G1698" s="16" t="n">
        <f aca="false">ROUND(E1698+F1698,2)</f>
        <v>355863.93</v>
      </c>
    </row>
    <row r="1699" customFormat="false" ht="15" hidden="false" customHeight="false" outlineLevel="0" collapsed="false">
      <c r="A1699" s="14" t="s">
        <v>22</v>
      </c>
      <c r="B1699" s="14" t="n">
        <v>2021</v>
      </c>
      <c r="C1699" s="14" t="n">
        <v>9</v>
      </c>
      <c r="D1699" s="14" t="s">
        <v>58</v>
      </c>
      <c r="E1699" s="15" t="n">
        <v>251308.95</v>
      </c>
      <c r="F1699" s="15" t="n">
        <v>112858.56</v>
      </c>
      <c r="G1699" s="16" t="n">
        <f aca="false">ROUND(E1699+F1699,2)</f>
        <v>364167.51</v>
      </c>
    </row>
    <row r="1700" customFormat="false" ht="15" hidden="false" customHeight="false" outlineLevel="0" collapsed="false">
      <c r="A1700" s="14" t="s">
        <v>22</v>
      </c>
      <c r="B1700" s="14" t="n">
        <v>2021</v>
      </c>
      <c r="C1700" s="14" t="n">
        <v>10</v>
      </c>
      <c r="D1700" s="14" t="s">
        <v>59</v>
      </c>
      <c r="E1700" s="15" t="n">
        <v>273195.17</v>
      </c>
      <c r="F1700" s="15" t="n">
        <v>134274.42</v>
      </c>
      <c r="G1700" s="16" t="n">
        <f aca="false">ROUND(E1700+F1700,2)</f>
        <v>407469.59</v>
      </c>
    </row>
    <row r="1701" customFormat="false" ht="15" hidden="false" customHeight="false" outlineLevel="0" collapsed="false">
      <c r="A1701" s="14" t="s">
        <v>22</v>
      </c>
      <c r="B1701" s="14" t="n">
        <v>2021</v>
      </c>
      <c r="C1701" s="14" t="n">
        <v>11</v>
      </c>
      <c r="D1701" s="14" t="s">
        <v>60</v>
      </c>
      <c r="E1701" s="15" t="n">
        <v>248737.45</v>
      </c>
      <c r="F1701" s="15" t="n">
        <v>103895.32</v>
      </c>
      <c r="G1701" s="16" t="n">
        <f aca="false">ROUND(E1701+F1701,2)</f>
        <v>352632.77</v>
      </c>
    </row>
    <row r="1702" customFormat="false" ht="15" hidden="false" customHeight="false" outlineLevel="0" collapsed="false">
      <c r="A1702" s="14" t="s">
        <v>22</v>
      </c>
      <c r="B1702" s="14" t="n">
        <v>2021</v>
      </c>
      <c r="C1702" s="14" t="n">
        <v>12</v>
      </c>
      <c r="D1702" s="14" t="s">
        <v>61</v>
      </c>
      <c r="E1702" s="15" t="n">
        <v>243905.13</v>
      </c>
      <c r="F1702" s="15" t="n">
        <v>78997.95</v>
      </c>
      <c r="G1702" s="16" t="n">
        <f aca="false">ROUND(E1702+F1702,2)</f>
        <v>322903.08</v>
      </c>
    </row>
    <row r="1703" customFormat="false" ht="15" hidden="false" customHeight="false" outlineLevel="0" collapsed="false">
      <c r="A1703" s="14" t="s">
        <v>22</v>
      </c>
      <c r="B1703" s="14" t="n">
        <v>2022</v>
      </c>
      <c r="C1703" s="14" t="n">
        <v>1</v>
      </c>
      <c r="D1703" s="14" t="s">
        <v>50</v>
      </c>
      <c r="E1703" s="15" t="n">
        <v>245819.54</v>
      </c>
      <c r="F1703" s="15" t="n">
        <v>101840.4</v>
      </c>
      <c r="G1703" s="16" t="n">
        <f aca="false">ROUND(E1703+F1703,2)</f>
        <v>347659.94</v>
      </c>
    </row>
    <row r="1704" customFormat="false" ht="15" hidden="false" customHeight="false" outlineLevel="0" collapsed="false">
      <c r="A1704" s="14" t="s">
        <v>22</v>
      </c>
      <c r="B1704" s="14" t="n">
        <v>2022</v>
      </c>
      <c r="C1704" s="14" t="n">
        <v>2</v>
      </c>
      <c r="D1704" s="14" t="s">
        <v>51</v>
      </c>
      <c r="E1704" s="15" t="n">
        <v>211609.94</v>
      </c>
      <c r="F1704" s="15" t="n">
        <v>96636.36</v>
      </c>
      <c r="G1704" s="16" t="n">
        <f aca="false">ROUND(E1704+F1704,2)</f>
        <v>308246.3</v>
      </c>
    </row>
    <row r="1705" customFormat="false" ht="15" hidden="false" customHeight="false" outlineLevel="0" collapsed="false">
      <c r="A1705" s="14" t="s">
        <v>22</v>
      </c>
      <c r="B1705" s="14" t="n">
        <v>2022</v>
      </c>
      <c r="C1705" s="14" t="n">
        <v>3</v>
      </c>
      <c r="D1705" s="14" t="s">
        <v>52</v>
      </c>
      <c r="E1705" s="15" t="n">
        <v>281600.62</v>
      </c>
      <c r="F1705" s="15" t="n">
        <v>131472.56</v>
      </c>
      <c r="G1705" s="16" t="n">
        <f aca="false">ROUND(E1705+F1705,2)</f>
        <v>413073.18</v>
      </c>
    </row>
    <row r="1706" customFormat="false" ht="15" hidden="false" customHeight="false" outlineLevel="0" collapsed="false">
      <c r="A1706" s="14" t="s">
        <v>22</v>
      </c>
      <c r="B1706" s="14" t="n">
        <v>2022</v>
      </c>
      <c r="C1706" s="14" t="n">
        <v>4</v>
      </c>
      <c r="D1706" s="14" t="s">
        <v>53</v>
      </c>
      <c r="E1706" s="15" t="n">
        <v>282396.94</v>
      </c>
      <c r="F1706" s="15" t="n">
        <v>122040.56</v>
      </c>
      <c r="G1706" s="16" t="n">
        <f aca="false">ROUND(E1706+F1706,2)</f>
        <v>404437.5</v>
      </c>
    </row>
    <row r="1707" customFormat="false" ht="15" hidden="false" customHeight="false" outlineLevel="0" collapsed="false">
      <c r="A1707" s="14" t="s">
        <v>22</v>
      </c>
      <c r="B1707" s="14" t="n">
        <v>2022</v>
      </c>
      <c r="C1707" s="14" t="n">
        <v>5</v>
      </c>
      <c r="D1707" s="14" t="s">
        <v>54</v>
      </c>
      <c r="E1707" s="15" t="n">
        <v>283670.84</v>
      </c>
      <c r="F1707" s="15" t="n">
        <v>121266.2</v>
      </c>
      <c r="G1707" s="16" t="n">
        <f aca="false">ROUND(E1707+F1707,2)</f>
        <v>404937.04</v>
      </c>
    </row>
    <row r="1708" customFormat="false" ht="15" hidden="false" customHeight="false" outlineLevel="0" collapsed="false">
      <c r="A1708" s="14" t="s">
        <v>22</v>
      </c>
      <c r="B1708" s="14" t="n">
        <v>2022</v>
      </c>
      <c r="C1708" s="14" t="n">
        <v>6</v>
      </c>
      <c r="D1708" s="14" t="s">
        <v>55</v>
      </c>
      <c r="E1708" s="15" t="n">
        <v>290203.01</v>
      </c>
      <c r="F1708" s="15" t="n">
        <v>128953.55</v>
      </c>
      <c r="G1708" s="16" t="n">
        <f aca="false">ROUND(E1708+F1708,2)</f>
        <v>419156.56</v>
      </c>
    </row>
    <row r="1709" customFormat="false" ht="15" hidden="false" customHeight="false" outlineLevel="0" collapsed="false">
      <c r="A1709" s="14" t="s">
        <v>22</v>
      </c>
      <c r="B1709" s="14" t="n">
        <v>2022</v>
      </c>
      <c r="C1709" s="14" t="n">
        <v>7</v>
      </c>
      <c r="D1709" s="14" t="s">
        <v>56</v>
      </c>
      <c r="E1709" s="15" t="n">
        <v>263312.24</v>
      </c>
      <c r="F1709" s="15" t="n">
        <v>115263.47</v>
      </c>
      <c r="G1709" s="16" t="n">
        <f aca="false">ROUND(E1709+F1709,2)</f>
        <v>378575.71</v>
      </c>
    </row>
    <row r="1710" customFormat="false" ht="15" hidden="false" customHeight="false" outlineLevel="0" collapsed="false">
      <c r="A1710" s="14" t="s">
        <v>22</v>
      </c>
      <c r="B1710" s="14" t="n">
        <v>2022</v>
      </c>
      <c r="C1710" s="14" t="n">
        <v>8</v>
      </c>
      <c r="D1710" s="14" t="s">
        <v>57</v>
      </c>
      <c r="E1710" s="15" t="n">
        <v>268683.42</v>
      </c>
      <c r="F1710" s="15" t="n">
        <v>120183.73</v>
      </c>
      <c r="G1710" s="16" t="n">
        <f aca="false">ROUND(E1710+F1710,2)</f>
        <v>388867.15</v>
      </c>
    </row>
    <row r="1711" customFormat="false" ht="15" hidden="false" customHeight="false" outlineLevel="0" collapsed="false">
      <c r="A1711" s="14" t="s">
        <v>22</v>
      </c>
      <c r="B1711" s="14" t="n">
        <v>2022</v>
      </c>
      <c r="C1711" s="14" t="n">
        <v>9</v>
      </c>
      <c r="D1711" s="14" t="s">
        <v>58</v>
      </c>
      <c r="E1711" s="15" t="n">
        <v>248113.44</v>
      </c>
      <c r="F1711" s="15" t="n">
        <v>100984.28</v>
      </c>
      <c r="G1711" s="16" t="n">
        <f aca="false">ROUND(E1711+F1711,2)</f>
        <v>349097.72</v>
      </c>
    </row>
    <row r="1712" customFormat="false" ht="15" hidden="false" customHeight="false" outlineLevel="0" collapsed="false">
      <c r="A1712" s="14" t="s">
        <v>22</v>
      </c>
      <c r="B1712" s="14" t="n">
        <v>2022</v>
      </c>
      <c r="C1712" s="14" t="n">
        <v>10</v>
      </c>
      <c r="D1712" s="14" t="s">
        <v>59</v>
      </c>
      <c r="E1712" s="15" t="n">
        <v>272510.24</v>
      </c>
      <c r="F1712" s="15" t="n">
        <v>117108.03</v>
      </c>
      <c r="G1712" s="16" t="n">
        <f aca="false">ROUND(E1712+F1712,2)</f>
        <v>389618.27</v>
      </c>
    </row>
    <row r="1713" customFormat="false" ht="15" hidden="false" customHeight="false" outlineLevel="0" collapsed="false">
      <c r="A1713" s="14" t="s">
        <v>22</v>
      </c>
      <c r="B1713" s="14" t="n">
        <v>2022</v>
      </c>
      <c r="C1713" s="14" t="n">
        <v>11</v>
      </c>
      <c r="D1713" s="14" t="s">
        <v>60</v>
      </c>
      <c r="E1713" s="15" t="n">
        <v>235686.79</v>
      </c>
      <c r="F1713" s="15" t="n">
        <v>110399.22</v>
      </c>
      <c r="G1713" s="16" t="n">
        <f aca="false">ROUND(E1713+F1713,2)</f>
        <v>346086.01</v>
      </c>
    </row>
    <row r="1714" customFormat="false" ht="15" hidden="false" customHeight="false" outlineLevel="0" collapsed="false">
      <c r="A1714" s="14" t="s">
        <v>22</v>
      </c>
      <c r="B1714" s="14" t="n">
        <v>2022</v>
      </c>
      <c r="C1714" s="14" t="n">
        <v>12</v>
      </c>
      <c r="D1714" s="14" t="s">
        <v>61</v>
      </c>
      <c r="E1714" s="15" t="n">
        <v>232640.06</v>
      </c>
      <c r="F1714" s="15" t="n">
        <v>107906.65</v>
      </c>
      <c r="G1714" s="16" t="n">
        <f aca="false">ROUND(E1714+F1714,2)</f>
        <v>340546.71</v>
      </c>
    </row>
    <row r="1715" customFormat="false" ht="15" hidden="false" customHeight="false" outlineLevel="0" collapsed="false">
      <c r="A1715" s="14" t="s">
        <v>22</v>
      </c>
      <c r="B1715" s="14" t="n">
        <v>2023</v>
      </c>
      <c r="C1715" s="14" t="n">
        <v>1</v>
      </c>
      <c r="D1715" s="14" t="s">
        <v>50</v>
      </c>
      <c r="E1715" s="15" t="n">
        <v>202098.55</v>
      </c>
      <c r="F1715" s="15" t="n">
        <v>101447.8</v>
      </c>
      <c r="G1715" s="16" t="n">
        <f aca="false">ROUND(E1715+F1715,2)</f>
        <v>303546.35</v>
      </c>
    </row>
    <row r="1716" customFormat="false" ht="15" hidden="false" customHeight="false" outlineLevel="0" collapsed="false">
      <c r="A1716" s="14" t="s">
        <v>22</v>
      </c>
      <c r="B1716" s="14" t="n">
        <v>2023</v>
      </c>
      <c r="C1716" s="14" t="n">
        <v>2</v>
      </c>
      <c r="D1716" s="14" t="s">
        <v>51</v>
      </c>
      <c r="E1716" s="15" t="n">
        <v>206317.04</v>
      </c>
      <c r="F1716" s="15" t="n">
        <v>99959.75</v>
      </c>
      <c r="G1716" s="16" t="n">
        <f aca="false">ROUND(E1716+F1716,2)</f>
        <v>306276.79</v>
      </c>
    </row>
    <row r="1717" customFormat="false" ht="15" hidden="false" customHeight="false" outlineLevel="0" collapsed="false">
      <c r="A1717" s="14" t="s">
        <v>22</v>
      </c>
      <c r="B1717" s="14" t="n">
        <v>2023</v>
      </c>
      <c r="C1717" s="14" t="n">
        <v>3</v>
      </c>
      <c r="D1717" s="14" t="s">
        <v>52</v>
      </c>
      <c r="E1717" s="15" t="n">
        <v>312162.38</v>
      </c>
      <c r="F1717" s="15" t="n">
        <v>156447.84</v>
      </c>
      <c r="G1717" s="16" t="n">
        <f aca="false">ROUND(E1717+F1717,2)</f>
        <v>468610.22</v>
      </c>
    </row>
    <row r="1718" customFormat="false" ht="15" hidden="false" customHeight="false" outlineLevel="0" collapsed="false">
      <c r="A1718" s="14" t="s">
        <v>22</v>
      </c>
      <c r="B1718" s="14" t="n">
        <v>2023</v>
      </c>
      <c r="C1718" s="14" t="n">
        <v>4</v>
      </c>
      <c r="D1718" s="14" t="s">
        <v>53</v>
      </c>
      <c r="E1718" s="15" t="n">
        <v>294973.09</v>
      </c>
      <c r="F1718" s="15" t="n">
        <v>131234.36</v>
      </c>
      <c r="G1718" s="16" t="n">
        <f aca="false">ROUND(E1718+F1718,2)</f>
        <v>426207.45</v>
      </c>
    </row>
    <row r="1719" customFormat="false" ht="15" hidden="false" customHeight="false" outlineLevel="0" collapsed="false">
      <c r="A1719" s="14" t="s">
        <v>22</v>
      </c>
      <c r="B1719" s="14" t="n">
        <v>2023</v>
      </c>
      <c r="C1719" s="14" t="n">
        <v>5</v>
      </c>
      <c r="D1719" s="14" t="s">
        <v>54</v>
      </c>
      <c r="E1719" s="15" t="n">
        <v>348851.98</v>
      </c>
      <c r="F1719" s="15" t="n">
        <v>141549.95</v>
      </c>
      <c r="G1719" s="16" t="n">
        <f aca="false">ROUND(E1719+F1719,2)</f>
        <v>490401.93</v>
      </c>
    </row>
    <row r="1720" customFormat="false" ht="15" hidden="false" customHeight="false" outlineLevel="0" collapsed="false">
      <c r="A1720" s="14" t="s">
        <v>22</v>
      </c>
      <c r="B1720" s="14" t="n">
        <v>2023</v>
      </c>
      <c r="C1720" s="14" t="n">
        <v>6</v>
      </c>
      <c r="D1720" s="14" t="s">
        <v>55</v>
      </c>
      <c r="E1720" s="15" t="n">
        <v>327400.04</v>
      </c>
      <c r="F1720" s="15" t="n">
        <v>151071.68</v>
      </c>
      <c r="G1720" s="16" t="n">
        <f aca="false">ROUND(E1720+F1720,2)</f>
        <v>478471.72</v>
      </c>
    </row>
    <row r="1721" customFormat="false" ht="15" hidden="false" customHeight="false" outlineLevel="0" collapsed="false">
      <c r="A1721" s="14" t="s">
        <v>22</v>
      </c>
      <c r="B1721" s="14" t="n">
        <v>2023</v>
      </c>
      <c r="C1721" s="14" t="n">
        <v>7</v>
      </c>
      <c r="D1721" s="14" t="s">
        <v>56</v>
      </c>
      <c r="E1721" s="15" t="n">
        <v>293412.03</v>
      </c>
      <c r="F1721" s="15" t="n">
        <v>118988.07</v>
      </c>
      <c r="G1721" s="16" t="n">
        <f aca="false">ROUND(E1721+F1721,2)</f>
        <v>412400.1</v>
      </c>
    </row>
    <row r="1722" customFormat="false" ht="15" hidden="false" customHeight="false" outlineLevel="0" collapsed="false">
      <c r="A1722" s="14" t="s">
        <v>22</v>
      </c>
      <c r="B1722" s="14" t="n">
        <v>2023</v>
      </c>
      <c r="C1722" s="14" t="n">
        <v>8</v>
      </c>
      <c r="D1722" s="14" t="s">
        <v>57</v>
      </c>
      <c r="E1722" s="15" t="n">
        <v>311587.55</v>
      </c>
      <c r="F1722" s="15" t="n">
        <v>142339.35</v>
      </c>
      <c r="G1722" s="16" t="n">
        <f aca="false">ROUND(E1722+F1722,2)</f>
        <v>453926.9</v>
      </c>
    </row>
    <row r="1723" customFormat="false" ht="15" hidden="false" customHeight="false" outlineLevel="0" collapsed="false">
      <c r="A1723" s="14" t="s">
        <v>22</v>
      </c>
      <c r="B1723" s="14" t="n">
        <v>2023</v>
      </c>
      <c r="C1723" s="14" t="n">
        <v>9</v>
      </c>
      <c r="D1723" s="14" t="s">
        <v>58</v>
      </c>
      <c r="E1723" s="15" t="n">
        <v>253948.77</v>
      </c>
      <c r="F1723" s="15" t="n">
        <v>111971.76</v>
      </c>
      <c r="G1723" s="16" t="n">
        <f aca="false">ROUND(E1723+F1723,2)</f>
        <v>365920.53</v>
      </c>
    </row>
    <row r="1724" customFormat="false" ht="15" hidden="false" customHeight="false" outlineLevel="0" collapsed="false">
      <c r="A1724" s="14" t="s">
        <v>22</v>
      </c>
      <c r="B1724" s="14" t="n">
        <v>2023</v>
      </c>
      <c r="C1724" s="14" t="n">
        <v>10</v>
      </c>
      <c r="D1724" s="14" t="s">
        <v>59</v>
      </c>
      <c r="E1724" s="15" t="n">
        <v>290349.92</v>
      </c>
      <c r="F1724" s="15" t="n">
        <v>175609.84</v>
      </c>
      <c r="G1724" s="16" t="n">
        <f aca="false">ROUND(E1724+F1724,2)</f>
        <v>465959.76</v>
      </c>
    </row>
    <row r="1725" customFormat="false" ht="15" hidden="false" customHeight="false" outlineLevel="0" collapsed="false">
      <c r="A1725" s="14" t="s">
        <v>22</v>
      </c>
      <c r="B1725" s="14" t="n">
        <v>2023</v>
      </c>
      <c r="C1725" s="14" t="n">
        <v>11</v>
      </c>
      <c r="D1725" s="14" t="s">
        <v>60</v>
      </c>
      <c r="E1725" s="15" t="n">
        <v>260512.94</v>
      </c>
      <c r="F1725" s="15" t="n">
        <v>127671.55</v>
      </c>
      <c r="G1725" s="16" t="n">
        <f aca="false">ROUND(E1725+F1725,2)</f>
        <v>388184.49</v>
      </c>
    </row>
    <row r="1726" customFormat="false" ht="15" hidden="false" customHeight="false" outlineLevel="0" collapsed="false">
      <c r="A1726" s="14" t="s">
        <v>22</v>
      </c>
      <c r="B1726" s="14" t="n">
        <v>2023</v>
      </c>
      <c r="C1726" s="14" t="n">
        <v>12</v>
      </c>
      <c r="D1726" s="14" t="s">
        <v>61</v>
      </c>
      <c r="E1726" s="15" t="n">
        <v>265884.66</v>
      </c>
      <c r="F1726" s="15" t="n">
        <v>132178.29</v>
      </c>
      <c r="G1726" s="16" t="n">
        <f aca="false">ROUND(E1726+F1726,2)</f>
        <v>398062.95</v>
      </c>
    </row>
    <row r="1727" customFormat="false" ht="15" hidden="false" customHeight="false" outlineLevel="0" collapsed="false">
      <c r="A1727" s="14" t="s">
        <v>22</v>
      </c>
      <c r="B1727" s="14" t="n">
        <v>2024</v>
      </c>
      <c r="C1727" s="14" t="n">
        <v>1</v>
      </c>
      <c r="D1727" s="14" t="s">
        <v>50</v>
      </c>
      <c r="E1727" s="15" t="n">
        <v>275194.2</v>
      </c>
      <c r="F1727" s="15" t="n">
        <v>118344.43</v>
      </c>
      <c r="G1727" s="16" t="n">
        <f aca="false">ROUND(E1727+F1727,2)</f>
        <v>393538.63</v>
      </c>
    </row>
    <row r="1728" customFormat="false" ht="15" hidden="false" customHeight="false" outlineLevel="0" collapsed="false">
      <c r="A1728" s="14" t="s">
        <v>22</v>
      </c>
      <c r="B1728" s="14" t="n">
        <v>2024</v>
      </c>
      <c r="C1728" s="14" t="n">
        <v>2</v>
      </c>
      <c r="D1728" s="14" t="s">
        <v>51</v>
      </c>
      <c r="E1728" s="15" t="n">
        <v>269098.83</v>
      </c>
      <c r="F1728" s="15" t="n">
        <v>125406.23</v>
      </c>
      <c r="G1728" s="16" t="n">
        <f aca="false">ROUND(E1728+F1728,2)</f>
        <v>394505.06</v>
      </c>
    </row>
    <row r="1729" customFormat="false" ht="15" hidden="false" customHeight="false" outlineLevel="0" collapsed="false">
      <c r="A1729" s="14" t="s">
        <v>22</v>
      </c>
      <c r="B1729" s="14" t="n">
        <v>2024</v>
      </c>
      <c r="C1729" s="14" t="n">
        <v>3</v>
      </c>
      <c r="D1729" s="14" t="s">
        <v>52</v>
      </c>
      <c r="E1729" s="15" t="n">
        <v>272500.42</v>
      </c>
      <c r="F1729" s="15" t="n">
        <v>128042.02</v>
      </c>
      <c r="G1729" s="16" t="n">
        <f aca="false">ROUND(E1729+F1729,2)</f>
        <v>400542.44</v>
      </c>
    </row>
    <row r="1730" customFormat="false" ht="15" hidden="false" customHeight="false" outlineLevel="0" collapsed="false">
      <c r="A1730" s="14" t="s">
        <v>22</v>
      </c>
      <c r="B1730" s="14" t="n">
        <v>2024</v>
      </c>
      <c r="C1730" s="14" t="n">
        <v>4</v>
      </c>
      <c r="D1730" s="14" t="s">
        <v>53</v>
      </c>
      <c r="E1730" s="15" t="n">
        <v>289537.47</v>
      </c>
      <c r="F1730" s="15" t="n">
        <v>120469.94</v>
      </c>
      <c r="G1730" s="16" t="n">
        <f aca="false">ROUND(E1730+F1730,2)</f>
        <v>410007.41</v>
      </c>
    </row>
    <row r="1731" customFormat="false" ht="15" hidden="false" customHeight="false" outlineLevel="0" collapsed="false">
      <c r="A1731" s="14" t="s">
        <v>22</v>
      </c>
      <c r="B1731" s="14" t="n">
        <v>2024</v>
      </c>
      <c r="C1731" s="14" t="n">
        <v>5</v>
      </c>
      <c r="D1731" s="14" t="s">
        <v>54</v>
      </c>
      <c r="E1731" s="15" t="n">
        <v>322896.68</v>
      </c>
      <c r="F1731" s="15" t="n">
        <v>131189.61</v>
      </c>
      <c r="G1731" s="16" t="n">
        <f aca="false">ROUND(E1731+F1731,2)</f>
        <v>454086.29</v>
      </c>
    </row>
    <row r="1732" customFormat="false" ht="15" hidden="false" customHeight="false" outlineLevel="0" collapsed="false">
      <c r="A1732" s="14" t="s">
        <v>22</v>
      </c>
      <c r="B1732" s="14" t="n">
        <v>2024</v>
      </c>
      <c r="C1732" s="14" t="n">
        <v>6</v>
      </c>
      <c r="D1732" s="14" t="s">
        <v>55</v>
      </c>
      <c r="E1732" s="15" t="n">
        <v>128182.86</v>
      </c>
      <c r="F1732" s="15" t="n">
        <v>70222.35</v>
      </c>
      <c r="G1732" s="16" t="n">
        <f aca="false">ROUND(E1732+F1732,2)</f>
        <v>198405.21</v>
      </c>
    </row>
    <row r="1733" customFormat="false" ht="15" hidden="false" customHeight="false" outlineLevel="0" collapsed="false">
      <c r="A1733" s="14" t="s">
        <v>22</v>
      </c>
      <c r="B1733" s="14" t="n">
        <v>2024</v>
      </c>
      <c r="C1733" s="14" t="n">
        <v>7</v>
      </c>
      <c r="D1733" s="14" t="s">
        <v>56</v>
      </c>
      <c r="E1733" s="15" t="n">
        <v>320298</v>
      </c>
      <c r="F1733" s="15" t="n">
        <v>132738.08</v>
      </c>
      <c r="G1733" s="16" t="n">
        <f aca="false">ROUND(E1733+F1733,2)</f>
        <v>453036.08</v>
      </c>
    </row>
    <row r="1734" customFormat="false" ht="15" hidden="false" customHeight="false" outlineLevel="0" collapsed="false">
      <c r="A1734" s="14" t="s">
        <v>22</v>
      </c>
      <c r="B1734" s="14" t="n">
        <v>2024</v>
      </c>
      <c r="C1734" s="14" t="n">
        <v>8</v>
      </c>
      <c r="D1734" s="14" t="s">
        <v>57</v>
      </c>
      <c r="E1734" s="15" t="n">
        <v>324523.67</v>
      </c>
      <c r="F1734" s="15" t="n">
        <v>143522.98</v>
      </c>
      <c r="G1734" s="16" t="n">
        <f aca="false">ROUND(E1734+F1734,2)</f>
        <v>468046.65</v>
      </c>
    </row>
    <row r="1735" customFormat="false" ht="15" hidden="false" customHeight="false" outlineLevel="0" collapsed="false">
      <c r="A1735" s="14" t="s">
        <v>22</v>
      </c>
      <c r="B1735" s="14" t="n">
        <v>2024</v>
      </c>
      <c r="C1735" s="14" t="n">
        <v>9</v>
      </c>
      <c r="D1735" s="14" t="s">
        <v>58</v>
      </c>
      <c r="E1735" s="15" t="n">
        <v>272914.67</v>
      </c>
      <c r="F1735" s="15" t="n">
        <v>95589.23</v>
      </c>
      <c r="G1735" s="16" t="n">
        <f aca="false">ROUND(E1735+F1735,2)</f>
        <v>368503.9</v>
      </c>
    </row>
    <row r="1736" customFormat="false" ht="15" hidden="false" customHeight="false" outlineLevel="0" collapsed="false">
      <c r="A1736" s="14" t="s">
        <v>22</v>
      </c>
      <c r="B1736" s="14" t="n">
        <v>2024</v>
      </c>
      <c r="C1736" s="14" t="n">
        <v>10</v>
      </c>
      <c r="D1736" s="14" t="s">
        <v>59</v>
      </c>
      <c r="E1736" s="15" t="n">
        <v>357754.6</v>
      </c>
      <c r="F1736" s="15" t="n">
        <v>134886.89</v>
      </c>
      <c r="G1736" s="16" t="n">
        <f aca="false">ROUND(E1736+F1736,2)</f>
        <v>492641.49</v>
      </c>
    </row>
    <row r="1737" customFormat="false" ht="15" hidden="false" customHeight="false" outlineLevel="0" collapsed="false">
      <c r="A1737" s="14" t="s">
        <v>22</v>
      </c>
      <c r="B1737" s="14" t="n">
        <v>2024</v>
      </c>
      <c r="C1737" s="14" t="n">
        <v>11</v>
      </c>
      <c r="D1737" s="14" t="s">
        <v>60</v>
      </c>
      <c r="E1737" s="15" t="n">
        <v>278846.01</v>
      </c>
      <c r="F1737" s="15" t="n">
        <v>129320.19</v>
      </c>
      <c r="G1737" s="16" t="n">
        <f aca="false">ROUND(E1737+F1737,2)</f>
        <v>408166.2</v>
      </c>
    </row>
    <row r="1738" customFormat="false" ht="15" hidden="false" customHeight="false" outlineLevel="0" collapsed="false">
      <c r="A1738" s="14" t="s">
        <v>22</v>
      </c>
      <c r="B1738" s="14" t="n">
        <v>2024</v>
      </c>
      <c r="C1738" s="14" t="n">
        <v>12</v>
      </c>
      <c r="D1738" s="14" t="s">
        <v>61</v>
      </c>
      <c r="E1738" s="15" t="n">
        <v>295215.46</v>
      </c>
      <c r="F1738" s="15" t="n">
        <v>133882.84</v>
      </c>
      <c r="G1738" s="16" t="n">
        <f aca="false">ROUND(E1738+F1738,2)</f>
        <v>429098.3</v>
      </c>
    </row>
    <row r="1739" customFormat="false" ht="15" hidden="false" customHeight="false" outlineLevel="0" collapsed="false">
      <c r="A1739" s="14" t="s">
        <v>22</v>
      </c>
      <c r="B1739" s="14" t="n">
        <v>2025</v>
      </c>
      <c r="C1739" s="14" t="n">
        <v>1</v>
      </c>
      <c r="D1739" s="14" t="s">
        <v>50</v>
      </c>
      <c r="E1739" s="15" t="n">
        <v>330522.19</v>
      </c>
      <c r="F1739" s="15" t="n">
        <v>166012.9</v>
      </c>
      <c r="G1739" s="16" t="n">
        <f aca="false">ROUND(E1739+F1739,2)</f>
        <v>496535.09</v>
      </c>
    </row>
    <row r="1740" customFormat="false" ht="15" hidden="false" customHeight="false" outlineLevel="0" collapsed="false">
      <c r="A1740" s="14" t="s">
        <v>22</v>
      </c>
      <c r="B1740" s="14" t="n">
        <v>2025</v>
      </c>
      <c r="C1740" s="14" t="n">
        <v>2</v>
      </c>
      <c r="D1740" s="14" t="s">
        <v>51</v>
      </c>
      <c r="E1740" s="15" t="n">
        <v>281436.83</v>
      </c>
      <c r="F1740" s="15" t="n">
        <v>138614.26</v>
      </c>
      <c r="G1740" s="16" t="n">
        <f aca="false">ROUND(E1740+F1740,2)</f>
        <v>420051.09</v>
      </c>
    </row>
    <row r="1741" customFormat="false" ht="15" hidden="false" customHeight="false" outlineLevel="0" collapsed="false">
      <c r="A1741" s="14" t="s">
        <v>22</v>
      </c>
      <c r="B1741" s="14" t="n">
        <v>2025</v>
      </c>
      <c r="C1741" s="14" t="n">
        <v>3</v>
      </c>
      <c r="D1741" s="14" t="s">
        <v>52</v>
      </c>
      <c r="E1741" s="15" t="n">
        <v>302035.34</v>
      </c>
      <c r="F1741" s="15" t="n">
        <v>136523.66</v>
      </c>
      <c r="G1741" s="16" t="n">
        <f aca="false">ROUND(E1741+F1741,2)</f>
        <v>438559</v>
      </c>
    </row>
    <row r="1742" customFormat="false" ht="15" hidden="false" customHeight="false" outlineLevel="0" collapsed="false">
      <c r="A1742" s="14" t="s">
        <v>22</v>
      </c>
      <c r="B1742" s="14" t="n">
        <v>2025</v>
      </c>
      <c r="C1742" s="14" t="n">
        <v>4</v>
      </c>
      <c r="D1742" s="14" t="s">
        <v>53</v>
      </c>
      <c r="E1742" s="15" t="n">
        <v>313883.03</v>
      </c>
      <c r="F1742" s="15" t="n">
        <v>135163.52</v>
      </c>
      <c r="G1742" s="16" t="n">
        <f aca="false">ROUND(E1742+F1742,2)</f>
        <v>449046.55</v>
      </c>
    </row>
    <row r="1743" customFormat="false" ht="15" hidden="false" customHeight="false" outlineLevel="0" collapsed="false">
      <c r="A1743" s="14" t="s">
        <v>22</v>
      </c>
      <c r="B1743" s="14" t="n">
        <v>2025</v>
      </c>
      <c r="C1743" s="14" t="n">
        <v>5</v>
      </c>
      <c r="D1743" s="14" t="s">
        <v>54</v>
      </c>
      <c r="E1743" s="15" t="n">
        <v>320035.02</v>
      </c>
      <c r="F1743" s="15" t="n">
        <v>149521.8</v>
      </c>
      <c r="G1743" s="16" t="n">
        <f aca="false">ROUND(E1743+F1743,2)</f>
        <v>469556.82</v>
      </c>
    </row>
    <row r="1744" customFormat="false" ht="15" hidden="false" customHeight="false" outlineLevel="0" collapsed="false">
      <c r="A1744" s="14" t="s">
        <v>22</v>
      </c>
      <c r="B1744" s="14" t="n">
        <v>2025</v>
      </c>
      <c r="C1744" s="14" t="n">
        <v>6</v>
      </c>
      <c r="D1744" s="14" t="s">
        <v>55</v>
      </c>
      <c r="E1744" s="15" t="n">
        <v>302155.01</v>
      </c>
      <c r="F1744" s="15" t="n">
        <v>137824.01</v>
      </c>
      <c r="G1744" s="16" t="n">
        <f aca="false">ROUND(E1744+F1744,2)</f>
        <v>439979.02</v>
      </c>
    </row>
    <row r="1745" customFormat="false" ht="15" hidden="false" customHeight="false" outlineLevel="0" collapsed="false">
      <c r="A1745" s="14" t="s">
        <v>22</v>
      </c>
      <c r="B1745" s="14" t="n">
        <v>2025</v>
      </c>
      <c r="C1745" s="14" t="n">
        <v>7</v>
      </c>
      <c r="D1745" s="14" t="s">
        <v>56</v>
      </c>
      <c r="E1745" s="15" t="n">
        <v>307794.84</v>
      </c>
      <c r="F1745" s="15" t="n">
        <v>145334.49</v>
      </c>
      <c r="G1745" s="16" t="n">
        <f aca="false">ROUND(E1745+F1745,2)</f>
        <v>453129.33</v>
      </c>
    </row>
    <row r="1746" customFormat="false" ht="15" hidden="false" customHeight="false" outlineLevel="0" collapsed="false">
      <c r="A1746" s="14" t="s">
        <v>22</v>
      </c>
      <c r="B1746" s="14" t="n">
        <v>2025</v>
      </c>
      <c r="C1746" s="14" t="n">
        <v>8</v>
      </c>
      <c r="D1746" s="14" t="s">
        <v>57</v>
      </c>
      <c r="E1746" s="15" t="n">
        <v>316349.79</v>
      </c>
      <c r="F1746" s="15" t="n">
        <v>141750.74</v>
      </c>
      <c r="G1746" s="16" t="n">
        <f aca="false">ROUND(E1746+F1746,2)</f>
        <v>458100.53</v>
      </c>
    </row>
    <row r="1747" customFormat="false" ht="15" hidden="false" customHeight="false" outlineLevel="0" collapsed="false">
      <c r="A1747" s="14" t="s">
        <v>22</v>
      </c>
      <c r="B1747" s="14" t="n">
        <v>2025</v>
      </c>
      <c r="C1747" s="14" t="n">
        <v>9</v>
      </c>
      <c r="D1747" s="14" t="s">
        <v>58</v>
      </c>
      <c r="E1747" s="15" t="n">
        <v>295613.68</v>
      </c>
      <c r="F1747" s="15" t="n">
        <v>125673.64</v>
      </c>
      <c r="G1747" s="16" t="n">
        <f aca="false">ROUND(E1747+F1747,2)</f>
        <v>421287.32</v>
      </c>
    </row>
    <row r="1748" customFormat="false" ht="15" hidden="false" customHeight="false" outlineLevel="0" collapsed="false">
      <c r="A1748" s="14" t="s">
        <v>22</v>
      </c>
      <c r="B1748" s="14" t="n">
        <v>2025</v>
      </c>
      <c r="C1748" s="14" t="n">
        <v>10</v>
      </c>
      <c r="D1748" s="14" t="s">
        <v>59</v>
      </c>
      <c r="E1748" s="15" t="n">
        <v>326895.49</v>
      </c>
      <c r="F1748" s="15" t="n">
        <v>147750.86</v>
      </c>
      <c r="G1748" s="16" t="n">
        <f aca="false">ROUND(E1748+F1748,2)</f>
        <v>474646.35</v>
      </c>
    </row>
    <row r="1749" customFormat="false" ht="15" hidden="false" customHeight="false" outlineLevel="0" collapsed="false">
      <c r="A1749" s="14" t="s">
        <v>22</v>
      </c>
      <c r="B1749" s="14" t="n">
        <v>2025</v>
      </c>
      <c r="C1749" s="14" t="n">
        <v>11</v>
      </c>
      <c r="D1749" s="14" t="s">
        <v>60</v>
      </c>
      <c r="E1749" s="15" t="n">
        <v>279110.27</v>
      </c>
      <c r="F1749" s="15" t="n">
        <v>122433.18</v>
      </c>
      <c r="G1749" s="16" t="n">
        <f aca="false">ROUND(E1749+F1749,2)</f>
        <v>401543.45</v>
      </c>
    </row>
    <row r="1750" customFormat="false" ht="15" hidden="false" customHeight="false" outlineLevel="0" collapsed="false">
      <c r="A1750" s="14" t="s">
        <v>22</v>
      </c>
      <c r="B1750" s="14" t="n">
        <v>2025</v>
      </c>
      <c r="C1750" s="14" t="n">
        <v>12</v>
      </c>
      <c r="D1750" s="14" t="s">
        <v>61</v>
      </c>
      <c r="E1750" s="15" t="n">
        <v>329034.01</v>
      </c>
      <c r="F1750" s="15" t="n">
        <v>132859.07</v>
      </c>
      <c r="G1750" s="16" t="n">
        <f aca="false">ROUND(E1750+F1750,2)</f>
        <v>461893.08</v>
      </c>
    </row>
    <row r="1751" customFormat="false" ht="15" hidden="false" customHeight="false" outlineLevel="0" collapsed="false">
      <c r="A1751" s="14" t="s">
        <v>22</v>
      </c>
      <c r="B1751" s="14" t="n">
        <v>2026</v>
      </c>
      <c r="C1751" s="14" t="n">
        <v>1</v>
      </c>
      <c r="D1751" s="14" t="s">
        <v>50</v>
      </c>
      <c r="E1751" s="15" t="n">
        <v>319986.04</v>
      </c>
      <c r="F1751" s="15" t="n">
        <v>142604.21</v>
      </c>
      <c r="G1751" s="16" t="n">
        <f aca="false">ROUND(E1751+F1751,2)</f>
        <v>462590.25</v>
      </c>
    </row>
    <row r="1752" customFormat="false" ht="15" hidden="false" customHeight="false" outlineLevel="0" collapsed="false">
      <c r="A1752" s="14" t="s">
        <v>22</v>
      </c>
      <c r="B1752" s="14" t="n">
        <v>2026</v>
      </c>
      <c r="C1752" s="14" t="n">
        <v>2</v>
      </c>
      <c r="D1752" s="14" t="s">
        <v>51</v>
      </c>
      <c r="E1752" s="15" t="n">
        <v>301241.7</v>
      </c>
      <c r="F1752" s="15" t="n">
        <v>140354.86</v>
      </c>
      <c r="G1752" s="16" t="n">
        <f aca="false">ROUND(E1752+F1752,2)</f>
        <v>441596.56</v>
      </c>
    </row>
    <row r="1753" customFormat="false" ht="15" hidden="false" customHeight="false" outlineLevel="0" collapsed="false">
      <c r="A1753" s="14" t="s">
        <v>22</v>
      </c>
      <c r="B1753" s="14" t="n">
        <v>2026</v>
      </c>
      <c r="C1753" s="14" t="n">
        <v>3</v>
      </c>
      <c r="D1753" s="14" t="s">
        <v>52</v>
      </c>
      <c r="E1753" s="15" t="n">
        <v>374257.99</v>
      </c>
      <c r="F1753" s="15" t="n">
        <v>157611.49</v>
      </c>
      <c r="G1753" s="16" t="n">
        <f aca="false">ROUND(E1753+F1753,2)</f>
        <v>531869.48</v>
      </c>
    </row>
    <row r="1754" customFormat="false" ht="15" hidden="false" customHeight="false" outlineLevel="0" collapsed="false">
      <c r="A1754" s="14" t="s">
        <v>22</v>
      </c>
      <c r="B1754" s="14" t="n">
        <v>2026</v>
      </c>
      <c r="C1754" s="14" t="n">
        <v>4</v>
      </c>
      <c r="D1754" s="14" t="s">
        <v>53</v>
      </c>
      <c r="E1754" s="15" t="n">
        <v>377074.91</v>
      </c>
      <c r="F1754" s="15" t="n">
        <v>153238.45</v>
      </c>
      <c r="G1754" s="16" t="n">
        <f aca="false">ROUND(E1754+F1754,2)</f>
        <v>530313.36</v>
      </c>
    </row>
    <row r="1755" customFormat="false" ht="15" hidden="false" customHeight="false" outlineLevel="0" collapsed="false">
      <c r="A1755" s="14" t="s">
        <v>22</v>
      </c>
      <c r="B1755" s="14" t="n">
        <v>2026</v>
      </c>
      <c r="C1755" s="14" t="n">
        <v>5</v>
      </c>
      <c r="D1755" s="14" t="s">
        <v>54</v>
      </c>
      <c r="E1755" s="15" t="n">
        <v>381784.3</v>
      </c>
      <c r="F1755" s="15" t="n">
        <v>139515.59</v>
      </c>
      <c r="G1755" s="16" t="n">
        <f aca="false">ROUND(E1755+F1755,2)</f>
        <v>521299.89</v>
      </c>
    </row>
    <row r="1756" customFormat="false" ht="15" hidden="false" customHeight="false" outlineLevel="0" collapsed="false">
      <c r="A1756" s="14" t="s">
        <v>22</v>
      </c>
      <c r="B1756" s="14" t="n">
        <v>2026</v>
      </c>
      <c r="C1756" s="14" t="n">
        <v>6</v>
      </c>
      <c r="D1756" s="14" t="s">
        <v>55</v>
      </c>
      <c r="E1756" s="15" t="n">
        <v>361634.87</v>
      </c>
      <c r="F1756" s="15" t="n">
        <v>141488.71</v>
      </c>
      <c r="G1756" s="16" t="n">
        <f aca="false">ROUND(E1756+F1756,2)</f>
        <v>503123.58</v>
      </c>
    </row>
    <row r="1757" customFormat="false" ht="15" hidden="false" customHeight="false" outlineLevel="0" collapsed="false">
      <c r="A1757" s="14" t="s">
        <v>22</v>
      </c>
      <c r="B1757" s="14" t="n">
        <v>2026</v>
      </c>
      <c r="C1757" s="14" t="n">
        <v>7</v>
      </c>
      <c r="D1757" s="14" t="s">
        <v>56</v>
      </c>
      <c r="E1757" s="15" t="n">
        <v>380260.31</v>
      </c>
      <c r="F1757" s="15" t="n">
        <v>140250.05</v>
      </c>
      <c r="G1757" s="16" t="n">
        <f aca="false">ROUND(E1757+F1757,2)</f>
        <v>520510.36</v>
      </c>
    </row>
    <row r="1758" customFormat="false" ht="15" hidden="false" customHeight="false" outlineLevel="0" collapsed="false">
      <c r="A1758" s="14" t="s">
        <v>9</v>
      </c>
      <c r="B1758" s="14" t="n">
        <v>2021</v>
      </c>
      <c r="C1758" s="14" t="n">
        <v>1</v>
      </c>
      <c r="D1758" s="14" t="s">
        <v>50</v>
      </c>
      <c r="E1758" s="15" t="n">
        <v>1114110.9</v>
      </c>
      <c r="F1758" s="15" t="n">
        <v>372383.1</v>
      </c>
      <c r="G1758" s="16" t="n">
        <f aca="false">ROUND(E1758+F1758,2)</f>
        <v>1486494</v>
      </c>
    </row>
    <row r="1759" customFormat="false" ht="15" hidden="false" customHeight="false" outlineLevel="0" collapsed="false">
      <c r="A1759" s="14" t="s">
        <v>9</v>
      </c>
      <c r="B1759" s="14" t="n">
        <v>2021</v>
      </c>
      <c r="C1759" s="14" t="n">
        <v>2</v>
      </c>
      <c r="D1759" s="14" t="s">
        <v>51</v>
      </c>
      <c r="E1759" s="15" t="n">
        <v>1189724.43</v>
      </c>
      <c r="F1759" s="15" t="n">
        <v>378600.96</v>
      </c>
      <c r="G1759" s="16" t="n">
        <f aca="false">ROUND(E1759+F1759,2)</f>
        <v>1568325.39</v>
      </c>
    </row>
    <row r="1760" customFormat="false" ht="15" hidden="false" customHeight="false" outlineLevel="0" collapsed="false">
      <c r="A1760" s="14" t="s">
        <v>9</v>
      </c>
      <c r="B1760" s="14" t="n">
        <v>2021</v>
      </c>
      <c r="C1760" s="14" t="n">
        <v>3</v>
      </c>
      <c r="D1760" s="14" t="s">
        <v>52</v>
      </c>
      <c r="E1760" s="15" t="n">
        <v>1570781.11</v>
      </c>
      <c r="F1760" s="15" t="n">
        <v>522304.15</v>
      </c>
      <c r="G1760" s="16" t="n">
        <f aca="false">ROUND(E1760+F1760,2)</f>
        <v>2093085.26</v>
      </c>
    </row>
    <row r="1761" customFormat="false" ht="15" hidden="false" customHeight="false" outlineLevel="0" collapsed="false">
      <c r="A1761" s="14" t="s">
        <v>9</v>
      </c>
      <c r="B1761" s="14" t="n">
        <v>2021</v>
      </c>
      <c r="C1761" s="14" t="n">
        <v>4</v>
      </c>
      <c r="D1761" s="14" t="s">
        <v>53</v>
      </c>
      <c r="E1761" s="15" t="n">
        <v>1598665.12</v>
      </c>
      <c r="F1761" s="15" t="n">
        <v>598965.75</v>
      </c>
      <c r="G1761" s="16" t="n">
        <f aca="false">ROUND(E1761+F1761,2)</f>
        <v>2197630.87</v>
      </c>
    </row>
    <row r="1762" customFormat="false" ht="15" hidden="false" customHeight="false" outlineLevel="0" collapsed="false">
      <c r="A1762" s="14" t="s">
        <v>9</v>
      </c>
      <c r="B1762" s="14" t="n">
        <v>2021</v>
      </c>
      <c r="C1762" s="14" t="n">
        <v>5</v>
      </c>
      <c r="D1762" s="14" t="s">
        <v>54</v>
      </c>
      <c r="E1762" s="15" t="n">
        <v>1374892.39</v>
      </c>
      <c r="F1762" s="15" t="n">
        <v>463716.4</v>
      </c>
      <c r="G1762" s="16" t="n">
        <f aca="false">ROUND(E1762+F1762,2)</f>
        <v>1838608.79</v>
      </c>
    </row>
    <row r="1763" customFormat="false" ht="15" hidden="false" customHeight="false" outlineLevel="0" collapsed="false">
      <c r="A1763" s="14" t="s">
        <v>9</v>
      </c>
      <c r="B1763" s="14" t="n">
        <v>2021</v>
      </c>
      <c r="C1763" s="14" t="n">
        <v>6</v>
      </c>
      <c r="D1763" s="14" t="s">
        <v>55</v>
      </c>
      <c r="E1763" s="15" t="n">
        <v>1455564.2</v>
      </c>
      <c r="F1763" s="15" t="n">
        <v>548418.14</v>
      </c>
      <c r="G1763" s="16" t="n">
        <f aca="false">ROUND(E1763+F1763,2)</f>
        <v>2003982.34</v>
      </c>
    </row>
    <row r="1764" customFormat="false" ht="15" hidden="false" customHeight="false" outlineLevel="0" collapsed="false">
      <c r="A1764" s="14" t="s">
        <v>9</v>
      </c>
      <c r="B1764" s="14" t="n">
        <v>2021</v>
      </c>
      <c r="C1764" s="14" t="n">
        <v>7</v>
      </c>
      <c r="D1764" s="14" t="s">
        <v>56</v>
      </c>
      <c r="E1764" s="15" t="n">
        <v>1430627.81</v>
      </c>
      <c r="F1764" s="15" t="n">
        <v>585315.68</v>
      </c>
      <c r="G1764" s="16" t="n">
        <f aca="false">ROUND(E1764+F1764,2)</f>
        <v>2015943.49</v>
      </c>
    </row>
    <row r="1765" customFormat="false" ht="15" hidden="false" customHeight="false" outlineLevel="0" collapsed="false">
      <c r="A1765" s="14" t="s">
        <v>9</v>
      </c>
      <c r="B1765" s="14" t="n">
        <v>2021</v>
      </c>
      <c r="C1765" s="14" t="n">
        <v>8</v>
      </c>
      <c r="D1765" s="14" t="s">
        <v>57</v>
      </c>
      <c r="E1765" s="15" t="n">
        <v>1305516.25</v>
      </c>
      <c r="F1765" s="15" t="n">
        <v>492900.96</v>
      </c>
      <c r="G1765" s="16" t="n">
        <f aca="false">ROUND(E1765+F1765,2)</f>
        <v>1798417.21</v>
      </c>
    </row>
    <row r="1766" customFormat="false" ht="15" hidden="false" customHeight="false" outlineLevel="0" collapsed="false">
      <c r="A1766" s="14" t="s">
        <v>9</v>
      </c>
      <c r="B1766" s="14" t="n">
        <v>2021</v>
      </c>
      <c r="C1766" s="14" t="n">
        <v>9</v>
      </c>
      <c r="D1766" s="14" t="s">
        <v>58</v>
      </c>
      <c r="E1766" s="15" t="n">
        <v>1308397.49</v>
      </c>
      <c r="F1766" s="15" t="n">
        <v>518589.32</v>
      </c>
      <c r="G1766" s="16" t="n">
        <f aca="false">ROUND(E1766+F1766,2)</f>
        <v>1826986.81</v>
      </c>
    </row>
    <row r="1767" customFormat="false" ht="15" hidden="false" customHeight="false" outlineLevel="0" collapsed="false">
      <c r="A1767" s="14" t="s">
        <v>9</v>
      </c>
      <c r="B1767" s="14" t="n">
        <v>2021</v>
      </c>
      <c r="C1767" s="14" t="n">
        <v>10</v>
      </c>
      <c r="D1767" s="14" t="s">
        <v>59</v>
      </c>
      <c r="E1767" s="15" t="n">
        <v>1269870.6</v>
      </c>
      <c r="F1767" s="15" t="n">
        <v>526586.91</v>
      </c>
      <c r="G1767" s="16" t="n">
        <f aca="false">ROUND(E1767+F1767,2)</f>
        <v>1796457.51</v>
      </c>
    </row>
    <row r="1768" customFormat="false" ht="15" hidden="false" customHeight="false" outlineLevel="0" collapsed="false">
      <c r="A1768" s="14" t="s">
        <v>9</v>
      </c>
      <c r="B1768" s="14" t="n">
        <v>2021</v>
      </c>
      <c r="C1768" s="14" t="n">
        <v>11</v>
      </c>
      <c r="D1768" s="14" t="s">
        <v>60</v>
      </c>
      <c r="E1768" s="15" t="n">
        <v>1139339.14</v>
      </c>
      <c r="F1768" s="15" t="n">
        <v>425546.79</v>
      </c>
      <c r="G1768" s="16" t="n">
        <f aca="false">ROUND(E1768+F1768,2)</f>
        <v>1564885.93</v>
      </c>
    </row>
    <row r="1769" customFormat="false" ht="15" hidden="false" customHeight="false" outlineLevel="0" collapsed="false">
      <c r="A1769" s="14" t="s">
        <v>9</v>
      </c>
      <c r="B1769" s="14" t="n">
        <v>2021</v>
      </c>
      <c r="C1769" s="14" t="n">
        <v>12</v>
      </c>
      <c r="D1769" s="14" t="s">
        <v>61</v>
      </c>
      <c r="E1769" s="15" t="n">
        <v>1210842.93</v>
      </c>
      <c r="F1769" s="15" t="n">
        <v>486137.66</v>
      </c>
      <c r="G1769" s="16" t="n">
        <f aca="false">ROUND(E1769+F1769,2)</f>
        <v>1696980.59</v>
      </c>
    </row>
    <row r="1770" customFormat="false" ht="15" hidden="false" customHeight="false" outlineLevel="0" collapsed="false">
      <c r="A1770" s="14" t="s">
        <v>9</v>
      </c>
      <c r="B1770" s="14" t="n">
        <v>2022</v>
      </c>
      <c r="C1770" s="14" t="n">
        <v>1</v>
      </c>
      <c r="D1770" s="14" t="s">
        <v>50</v>
      </c>
      <c r="E1770" s="15" t="n">
        <v>1165834.84</v>
      </c>
      <c r="F1770" s="15" t="n">
        <v>457336.93</v>
      </c>
      <c r="G1770" s="16" t="n">
        <f aca="false">ROUND(E1770+F1770,2)</f>
        <v>1623171.77</v>
      </c>
    </row>
    <row r="1771" customFormat="false" ht="15" hidden="false" customHeight="false" outlineLevel="0" collapsed="false">
      <c r="A1771" s="14" t="s">
        <v>9</v>
      </c>
      <c r="B1771" s="14" t="n">
        <v>2022</v>
      </c>
      <c r="C1771" s="14" t="n">
        <v>2</v>
      </c>
      <c r="D1771" s="14" t="s">
        <v>51</v>
      </c>
      <c r="E1771" s="15" t="n">
        <v>1245814.42</v>
      </c>
      <c r="F1771" s="15" t="n">
        <v>456600.33</v>
      </c>
      <c r="G1771" s="16" t="n">
        <f aca="false">ROUND(E1771+F1771,2)</f>
        <v>1702414.75</v>
      </c>
    </row>
    <row r="1772" customFormat="false" ht="15" hidden="false" customHeight="false" outlineLevel="0" collapsed="false">
      <c r="A1772" s="14" t="s">
        <v>9</v>
      </c>
      <c r="B1772" s="14" t="n">
        <v>2022</v>
      </c>
      <c r="C1772" s="14" t="n">
        <v>3</v>
      </c>
      <c r="D1772" s="14" t="s">
        <v>52</v>
      </c>
      <c r="E1772" s="15" t="n">
        <v>1486645.59</v>
      </c>
      <c r="F1772" s="15" t="n">
        <v>528850.03</v>
      </c>
      <c r="G1772" s="16" t="n">
        <f aca="false">ROUND(E1772+F1772,2)</f>
        <v>2015495.62</v>
      </c>
    </row>
    <row r="1773" customFormat="false" ht="15" hidden="false" customHeight="false" outlineLevel="0" collapsed="false">
      <c r="A1773" s="14" t="s">
        <v>9</v>
      </c>
      <c r="B1773" s="14" t="n">
        <v>2022</v>
      </c>
      <c r="C1773" s="14" t="n">
        <v>4</v>
      </c>
      <c r="D1773" s="14" t="s">
        <v>53</v>
      </c>
      <c r="E1773" s="15" t="n">
        <v>1366613.3</v>
      </c>
      <c r="F1773" s="15" t="n">
        <v>515230.62</v>
      </c>
      <c r="G1773" s="16" t="n">
        <f aca="false">ROUND(E1773+F1773,2)</f>
        <v>1881843.92</v>
      </c>
    </row>
    <row r="1774" customFormat="false" ht="15" hidden="false" customHeight="false" outlineLevel="0" collapsed="false">
      <c r="A1774" s="14" t="s">
        <v>9</v>
      </c>
      <c r="B1774" s="14" t="n">
        <v>2022</v>
      </c>
      <c r="C1774" s="14" t="n">
        <v>5</v>
      </c>
      <c r="D1774" s="14" t="s">
        <v>54</v>
      </c>
      <c r="E1774" s="15" t="n">
        <v>1427618.84</v>
      </c>
      <c r="F1774" s="15" t="n">
        <v>497338.71</v>
      </c>
      <c r="G1774" s="16" t="n">
        <f aca="false">ROUND(E1774+F1774,2)</f>
        <v>1924957.55</v>
      </c>
    </row>
    <row r="1775" customFormat="false" ht="15" hidden="false" customHeight="false" outlineLevel="0" collapsed="false">
      <c r="A1775" s="14" t="s">
        <v>9</v>
      </c>
      <c r="B1775" s="14" t="n">
        <v>2022</v>
      </c>
      <c r="C1775" s="14" t="n">
        <v>6</v>
      </c>
      <c r="D1775" s="14" t="s">
        <v>55</v>
      </c>
      <c r="E1775" s="15" t="n">
        <v>1484956.35</v>
      </c>
      <c r="F1775" s="15" t="n">
        <v>539422.93</v>
      </c>
      <c r="G1775" s="16" t="n">
        <f aca="false">ROUND(E1775+F1775,2)</f>
        <v>2024379.28</v>
      </c>
    </row>
    <row r="1776" customFormat="false" ht="15" hidden="false" customHeight="false" outlineLevel="0" collapsed="false">
      <c r="A1776" s="14" t="s">
        <v>9</v>
      </c>
      <c r="B1776" s="14" t="n">
        <v>2022</v>
      </c>
      <c r="C1776" s="14" t="n">
        <v>7</v>
      </c>
      <c r="D1776" s="14" t="s">
        <v>56</v>
      </c>
      <c r="E1776" s="15" t="n">
        <v>1367860.77</v>
      </c>
      <c r="F1776" s="15" t="n">
        <v>541850.79</v>
      </c>
      <c r="G1776" s="16" t="n">
        <f aca="false">ROUND(E1776+F1776,2)</f>
        <v>1909711.56</v>
      </c>
    </row>
    <row r="1777" customFormat="false" ht="15" hidden="false" customHeight="false" outlineLevel="0" collapsed="false">
      <c r="A1777" s="14" t="s">
        <v>9</v>
      </c>
      <c r="B1777" s="14" t="n">
        <v>2022</v>
      </c>
      <c r="C1777" s="14" t="n">
        <v>8</v>
      </c>
      <c r="D1777" s="14" t="s">
        <v>57</v>
      </c>
      <c r="E1777" s="15" t="n">
        <v>1464571.58</v>
      </c>
      <c r="F1777" s="15" t="n">
        <v>578279.31</v>
      </c>
      <c r="G1777" s="16" t="n">
        <f aca="false">ROUND(E1777+F1777,2)</f>
        <v>2042850.89</v>
      </c>
    </row>
    <row r="1778" customFormat="false" ht="15" hidden="false" customHeight="false" outlineLevel="0" collapsed="false">
      <c r="A1778" s="14" t="s">
        <v>9</v>
      </c>
      <c r="B1778" s="14" t="n">
        <v>2022</v>
      </c>
      <c r="C1778" s="14" t="n">
        <v>9</v>
      </c>
      <c r="D1778" s="14" t="s">
        <v>58</v>
      </c>
      <c r="E1778" s="15" t="n">
        <v>1323748.25</v>
      </c>
      <c r="F1778" s="15" t="n">
        <v>527388.19</v>
      </c>
      <c r="G1778" s="16" t="n">
        <f aca="false">ROUND(E1778+F1778,2)</f>
        <v>1851136.44</v>
      </c>
    </row>
    <row r="1779" customFormat="false" ht="15" hidden="false" customHeight="false" outlineLevel="0" collapsed="false">
      <c r="A1779" s="14" t="s">
        <v>9</v>
      </c>
      <c r="B1779" s="14" t="n">
        <v>2022</v>
      </c>
      <c r="C1779" s="14" t="n">
        <v>10</v>
      </c>
      <c r="D1779" s="14" t="s">
        <v>59</v>
      </c>
      <c r="E1779" s="15" t="n">
        <v>1406740.47</v>
      </c>
      <c r="F1779" s="15" t="n">
        <v>540922.27</v>
      </c>
      <c r="G1779" s="16" t="n">
        <f aca="false">ROUND(E1779+F1779,2)</f>
        <v>1947662.74</v>
      </c>
    </row>
    <row r="1780" customFormat="false" ht="15" hidden="false" customHeight="false" outlineLevel="0" collapsed="false">
      <c r="A1780" s="14" t="s">
        <v>9</v>
      </c>
      <c r="B1780" s="14" t="n">
        <v>2022</v>
      </c>
      <c r="C1780" s="14" t="n">
        <v>11</v>
      </c>
      <c r="D1780" s="14" t="s">
        <v>60</v>
      </c>
      <c r="E1780" s="15" t="n">
        <v>1254892.82</v>
      </c>
      <c r="F1780" s="15" t="n">
        <v>515303.9</v>
      </c>
      <c r="G1780" s="16" t="n">
        <f aca="false">ROUND(E1780+F1780,2)</f>
        <v>1770196.72</v>
      </c>
    </row>
    <row r="1781" customFormat="false" ht="15" hidden="false" customHeight="false" outlineLevel="0" collapsed="false">
      <c r="A1781" s="14" t="s">
        <v>9</v>
      </c>
      <c r="B1781" s="14" t="n">
        <v>2022</v>
      </c>
      <c r="C1781" s="14" t="n">
        <v>12</v>
      </c>
      <c r="D1781" s="14" t="s">
        <v>61</v>
      </c>
      <c r="E1781" s="15" t="n">
        <v>1312349.11</v>
      </c>
      <c r="F1781" s="15" t="n">
        <v>581354.41</v>
      </c>
      <c r="G1781" s="16" t="n">
        <f aca="false">ROUND(E1781+F1781,2)</f>
        <v>1893703.52</v>
      </c>
    </row>
    <row r="1782" customFormat="false" ht="15" hidden="false" customHeight="false" outlineLevel="0" collapsed="false">
      <c r="A1782" s="14" t="s">
        <v>9</v>
      </c>
      <c r="B1782" s="14" t="n">
        <v>2023</v>
      </c>
      <c r="C1782" s="14" t="n">
        <v>1</v>
      </c>
      <c r="D1782" s="14" t="s">
        <v>50</v>
      </c>
      <c r="E1782" s="15" t="n">
        <v>1243992.4</v>
      </c>
      <c r="F1782" s="15" t="n">
        <v>548000.65</v>
      </c>
      <c r="G1782" s="16" t="n">
        <f aca="false">ROUND(E1782+F1782,2)</f>
        <v>1791993.05</v>
      </c>
    </row>
    <row r="1783" customFormat="false" ht="15" hidden="false" customHeight="false" outlineLevel="0" collapsed="false">
      <c r="A1783" s="14" t="s">
        <v>9</v>
      </c>
      <c r="B1783" s="14" t="n">
        <v>2023</v>
      </c>
      <c r="C1783" s="14" t="n">
        <v>2</v>
      </c>
      <c r="D1783" s="14" t="s">
        <v>51</v>
      </c>
      <c r="E1783" s="15" t="n">
        <v>1285358.88</v>
      </c>
      <c r="F1783" s="15" t="n">
        <v>520187.79</v>
      </c>
      <c r="G1783" s="16" t="n">
        <f aca="false">ROUND(E1783+F1783,2)</f>
        <v>1805546.67</v>
      </c>
    </row>
    <row r="1784" customFormat="false" ht="15" hidden="false" customHeight="false" outlineLevel="0" collapsed="false">
      <c r="A1784" s="14" t="s">
        <v>9</v>
      </c>
      <c r="B1784" s="14" t="n">
        <v>2023</v>
      </c>
      <c r="C1784" s="14" t="n">
        <v>3</v>
      </c>
      <c r="D1784" s="14" t="s">
        <v>52</v>
      </c>
      <c r="E1784" s="15" t="n">
        <v>1410194.24</v>
      </c>
      <c r="F1784" s="15" t="n">
        <v>553693.05</v>
      </c>
      <c r="G1784" s="16" t="n">
        <f aca="false">ROUND(E1784+F1784,2)</f>
        <v>1963887.29</v>
      </c>
    </row>
    <row r="1785" customFormat="false" ht="15" hidden="false" customHeight="false" outlineLevel="0" collapsed="false">
      <c r="A1785" s="14" t="s">
        <v>9</v>
      </c>
      <c r="B1785" s="14" t="n">
        <v>2023</v>
      </c>
      <c r="C1785" s="14" t="n">
        <v>4</v>
      </c>
      <c r="D1785" s="14" t="s">
        <v>53</v>
      </c>
      <c r="E1785" s="15" t="n">
        <v>1387631.56</v>
      </c>
      <c r="F1785" s="15" t="n">
        <v>558900.75</v>
      </c>
      <c r="G1785" s="16" t="n">
        <f aca="false">ROUND(E1785+F1785,2)</f>
        <v>1946532.31</v>
      </c>
    </row>
    <row r="1786" customFormat="false" ht="15" hidden="false" customHeight="false" outlineLevel="0" collapsed="false">
      <c r="A1786" s="14" t="s">
        <v>9</v>
      </c>
      <c r="B1786" s="14" t="n">
        <v>2023</v>
      </c>
      <c r="C1786" s="14" t="n">
        <v>5</v>
      </c>
      <c r="D1786" s="14" t="s">
        <v>54</v>
      </c>
      <c r="E1786" s="15" t="n">
        <v>1462182.18</v>
      </c>
      <c r="F1786" s="15" t="n">
        <v>575700.29</v>
      </c>
      <c r="G1786" s="16" t="n">
        <f aca="false">ROUND(E1786+F1786,2)</f>
        <v>2037882.47</v>
      </c>
    </row>
    <row r="1787" customFormat="false" ht="15" hidden="false" customHeight="false" outlineLevel="0" collapsed="false">
      <c r="A1787" s="14" t="s">
        <v>9</v>
      </c>
      <c r="B1787" s="14" t="n">
        <v>2023</v>
      </c>
      <c r="C1787" s="14" t="n">
        <v>6</v>
      </c>
      <c r="D1787" s="14" t="s">
        <v>55</v>
      </c>
      <c r="E1787" s="15" t="n">
        <v>1477335.58</v>
      </c>
      <c r="F1787" s="15" t="n">
        <v>575429.68</v>
      </c>
      <c r="G1787" s="16" t="n">
        <f aca="false">ROUND(E1787+F1787,2)</f>
        <v>2052765.26</v>
      </c>
    </row>
    <row r="1788" customFormat="false" ht="15" hidden="false" customHeight="false" outlineLevel="0" collapsed="false">
      <c r="A1788" s="14" t="s">
        <v>9</v>
      </c>
      <c r="B1788" s="14" t="n">
        <v>2023</v>
      </c>
      <c r="C1788" s="14" t="n">
        <v>7</v>
      </c>
      <c r="D1788" s="14" t="s">
        <v>56</v>
      </c>
      <c r="E1788" s="15" t="n">
        <v>1448120.86</v>
      </c>
      <c r="F1788" s="15" t="n">
        <v>632620.08</v>
      </c>
      <c r="G1788" s="16" t="n">
        <f aca="false">ROUND(E1788+F1788,2)</f>
        <v>2080740.94</v>
      </c>
    </row>
    <row r="1789" customFormat="false" ht="15" hidden="false" customHeight="false" outlineLevel="0" collapsed="false">
      <c r="A1789" s="14" t="s">
        <v>9</v>
      </c>
      <c r="B1789" s="14" t="n">
        <v>2023</v>
      </c>
      <c r="C1789" s="14" t="n">
        <v>8</v>
      </c>
      <c r="D1789" s="14" t="s">
        <v>57</v>
      </c>
      <c r="E1789" s="15" t="n">
        <v>1559269.38</v>
      </c>
      <c r="F1789" s="15" t="n">
        <v>666766.94</v>
      </c>
      <c r="G1789" s="16" t="n">
        <f aca="false">ROUND(E1789+F1789,2)</f>
        <v>2226036.32</v>
      </c>
    </row>
    <row r="1790" customFormat="false" ht="15" hidden="false" customHeight="false" outlineLevel="0" collapsed="false">
      <c r="A1790" s="14" t="s">
        <v>9</v>
      </c>
      <c r="B1790" s="14" t="n">
        <v>2023</v>
      </c>
      <c r="C1790" s="14" t="n">
        <v>9</v>
      </c>
      <c r="D1790" s="14" t="s">
        <v>58</v>
      </c>
      <c r="E1790" s="15" t="n">
        <v>1514182.43</v>
      </c>
      <c r="F1790" s="15" t="n">
        <v>588044.51</v>
      </c>
      <c r="G1790" s="16" t="n">
        <f aca="false">ROUND(E1790+F1790,2)</f>
        <v>2102226.94</v>
      </c>
    </row>
    <row r="1791" customFormat="false" ht="15" hidden="false" customHeight="false" outlineLevel="0" collapsed="false">
      <c r="A1791" s="14" t="s">
        <v>9</v>
      </c>
      <c r="B1791" s="14" t="n">
        <v>2023</v>
      </c>
      <c r="C1791" s="14" t="n">
        <v>10</v>
      </c>
      <c r="D1791" s="14" t="s">
        <v>59</v>
      </c>
      <c r="E1791" s="15" t="n">
        <v>1592436.53</v>
      </c>
      <c r="F1791" s="15" t="n">
        <v>638162.79</v>
      </c>
      <c r="G1791" s="16" t="n">
        <f aca="false">ROUND(E1791+F1791,2)</f>
        <v>2230599.32</v>
      </c>
    </row>
    <row r="1792" customFormat="false" ht="15" hidden="false" customHeight="false" outlineLevel="0" collapsed="false">
      <c r="A1792" s="14" t="s">
        <v>9</v>
      </c>
      <c r="B1792" s="14" t="n">
        <v>2023</v>
      </c>
      <c r="C1792" s="14" t="n">
        <v>11</v>
      </c>
      <c r="D1792" s="14" t="s">
        <v>60</v>
      </c>
      <c r="E1792" s="15" t="n">
        <v>1389240.15</v>
      </c>
      <c r="F1792" s="15" t="n">
        <v>586078.8</v>
      </c>
      <c r="G1792" s="16" t="n">
        <f aca="false">ROUND(E1792+F1792,2)</f>
        <v>1975318.95</v>
      </c>
    </row>
    <row r="1793" customFormat="false" ht="15" hidden="false" customHeight="false" outlineLevel="0" collapsed="false">
      <c r="A1793" s="14" t="s">
        <v>9</v>
      </c>
      <c r="B1793" s="14" t="n">
        <v>2023</v>
      </c>
      <c r="C1793" s="14" t="n">
        <v>12</v>
      </c>
      <c r="D1793" s="14" t="s">
        <v>61</v>
      </c>
      <c r="E1793" s="15" t="n">
        <v>1431868.09</v>
      </c>
      <c r="F1793" s="15" t="n">
        <v>665650.02</v>
      </c>
      <c r="G1793" s="16" t="n">
        <f aca="false">ROUND(E1793+F1793,2)</f>
        <v>2097518.11</v>
      </c>
    </row>
    <row r="1794" customFormat="false" ht="15" hidden="false" customHeight="false" outlineLevel="0" collapsed="false">
      <c r="A1794" s="14" t="s">
        <v>9</v>
      </c>
      <c r="B1794" s="14" t="n">
        <v>2024</v>
      </c>
      <c r="C1794" s="14" t="n">
        <v>1</v>
      </c>
      <c r="D1794" s="14" t="s">
        <v>50</v>
      </c>
      <c r="E1794" s="15" t="n">
        <v>1503626.15</v>
      </c>
      <c r="F1794" s="15" t="n">
        <v>597212.88</v>
      </c>
      <c r="G1794" s="16" t="n">
        <f aca="false">ROUND(E1794+F1794,2)</f>
        <v>2100839.03</v>
      </c>
    </row>
    <row r="1795" customFormat="false" ht="15" hidden="false" customHeight="false" outlineLevel="0" collapsed="false">
      <c r="A1795" s="14" t="s">
        <v>9</v>
      </c>
      <c r="B1795" s="14" t="n">
        <v>2024</v>
      </c>
      <c r="C1795" s="14" t="n">
        <v>2</v>
      </c>
      <c r="D1795" s="14" t="s">
        <v>51</v>
      </c>
      <c r="E1795" s="15" t="n">
        <v>1463089.62</v>
      </c>
      <c r="F1795" s="15" t="n">
        <v>582757.74</v>
      </c>
      <c r="G1795" s="16" t="n">
        <f aca="false">ROUND(E1795+F1795,2)</f>
        <v>2045847.36</v>
      </c>
    </row>
    <row r="1796" customFormat="false" ht="15" hidden="false" customHeight="false" outlineLevel="0" collapsed="false">
      <c r="A1796" s="14" t="s">
        <v>9</v>
      </c>
      <c r="B1796" s="14" t="n">
        <v>2024</v>
      </c>
      <c r="C1796" s="14" t="n">
        <v>3</v>
      </c>
      <c r="D1796" s="14" t="s">
        <v>52</v>
      </c>
      <c r="E1796" s="15" t="n">
        <v>1665434.19</v>
      </c>
      <c r="F1796" s="15" t="n">
        <v>647555.74</v>
      </c>
      <c r="G1796" s="16" t="n">
        <f aca="false">ROUND(E1796+F1796,2)</f>
        <v>2312989.93</v>
      </c>
    </row>
    <row r="1797" customFormat="false" ht="15" hidden="false" customHeight="false" outlineLevel="0" collapsed="false">
      <c r="A1797" s="14" t="s">
        <v>9</v>
      </c>
      <c r="B1797" s="14" t="n">
        <v>2024</v>
      </c>
      <c r="C1797" s="14" t="n">
        <v>4</v>
      </c>
      <c r="D1797" s="14" t="s">
        <v>53</v>
      </c>
      <c r="E1797" s="15" t="n">
        <v>1701739.2</v>
      </c>
      <c r="F1797" s="15" t="n">
        <v>634915.4</v>
      </c>
      <c r="G1797" s="16" t="n">
        <f aca="false">ROUND(E1797+F1797,2)</f>
        <v>2336654.6</v>
      </c>
    </row>
    <row r="1798" customFormat="false" ht="15" hidden="false" customHeight="false" outlineLevel="0" collapsed="false">
      <c r="A1798" s="14" t="s">
        <v>9</v>
      </c>
      <c r="B1798" s="14" t="n">
        <v>2024</v>
      </c>
      <c r="C1798" s="14" t="n">
        <v>5</v>
      </c>
      <c r="D1798" s="14" t="s">
        <v>54</v>
      </c>
      <c r="E1798" s="15" t="n">
        <v>1770360.56</v>
      </c>
      <c r="F1798" s="15" t="n">
        <v>667751.88</v>
      </c>
      <c r="G1798" s="16" t="n">
        <f aca="false">ROUND(E1798+F1798,2)</f>
        <v>2438112.44</v>
      </c>
    </row>
    <row r="1799" customFormat="false" ht="15" hidden="false" customHeight="false" outlineLevel="0" collapsed="false">
      <c r="A1799" s="14" t="s">
        <v>9</v>
      </c>
      <c r="B1799" s="14" t="n">
        <v>2024</v>
      </c>
      <c r="C1799" s="14" t="n">
        <v>6</v>
      </c>
      <c r="D1799" s="14" t="s">
        <v>55</v>
      </c>
      <c r="E1799" s="15" t="n">
        <v>940816.66</v>
      </c>
      <c r="F1799" s="15" t="n">
        <v>349732.23</v>
      </c>
      <c r="G1799" s="16" t="n">
        <f aca="false">ROUND(E1799+F1799,2)</f>
        <v>1290548.89</v>
      </c>
    </row>
    <row r="1800" customFormat="false" ht="15" hidden="false" customHeight="false" outlineLevel="0" collapsed="false">
      <c r="A1800" s="14" t="s">
        <v>9</v>
      </c>
      <c r="B1800" s="14" t="n">
        <v>2024</v>
      </c>
      <c r="C1800" s="14" t="n">
        <v>7</v>
      </c>
      <c r="D1800" s="14" t="s">
        <v>56</v>
      </c>
      <c r="E1800" s="15" t="n">
        <v>1619095.97</v>
      </c>
      <c r="F1800" s="15" t="n">
        <v>679191.64</v>
      </c>
      <c r="G1800" s="16" t="n">
        <f aca="false">ROUND(E1800+F1800,2)</f>
        <v>2298287.61</v>
      </c>
    </row>
    <row r="1801" customFormat="false" ht="15" hidden="false" customHeight="false" outlineLevel="0" collapsed="false">
      <c r="A1801" s="14" t="s">
        <v>9</v>
      </c>
      <c r="B1801" s="14" t="n">
        <v>2024</v>
      </c>
      <c r="C1801" s="14" t="n">
        <v>8</v>
      </c>
      <c r="D1801" s="14" t="s">
        <v>57</v>
      </c>
      <c r="E1801" s="15" t="n">
        <v>1690735.58</v>
      </c>
      <c r="F1801" s="15" t="n">
        <v>680658.63</v>
      </c>
      <c r="G1801" s="16" t="n">
        <f aca="false">ROUND(E1801+F1801,2)</f>
        <v>2371394.21</v>
      </c>
    </row>
    <row r="1802" customFormat="false" ht="15" hidden="false" customHeight="false" outlineLevel="0" collapsed="false">
      <c r="A1802" s="14" t="s">
        <v>9</v>
      </c>
      <c r="B1802" s="14" t="n">
        <v>2024</v>
      </c>
      <c r="C1802" s="14" t="n">
        <v>9</v>
      </c>
      <c r="D1802" s="14" t="s">
        <v>58</v>
      </c>
      <c r="E1802" s="15" t="n">
        <v>1470939.94</v>
      </c>
      <c r="F1802" s="15" t="n">
        <v>623176.71</v>
      </c>
      <c r="G1802" s="16" t="n">
        <f aca="false">ROUND(E1802+F1802,2)</f>
        <v>2094116.65</v>
      </c>
    </row>
    <row r="1803" customFormat="false" ht="15" hidden="false" customHeight="false" outlineLevel="0" collapsed="false">
      <c r="A1803" s="14" t="s">
        <v>9</v>
      </c>
      <c r="B1803" s="14" t="n">
        <v>2024</v>
      </c>
      <c r="C1803" s="14" t="n">
        <v>10</v>
      </c>
      <c r="D1803" s="14" t="s">
        <v>59</v>
      </c>
      <c r="E1803" s="15" t="n">
        <v>1696042.39</v>
      </c>
      <c r="F1803" s="15" t="n">
        <v>653266.79</v>
      </c>
      <c r="G1803" s="16" t="n">
        <f aca="false">ROUND(E1803+F1803,2)</f>
        <v>2349309.18</v>
      </c>
    </row>
    <row r="1804" customFormat="false" ht="15" hidden="false" customHeight="false" outlineLevel="0" collapsed="false">
      <c r="A1804" s="14" t="s">
        <v>9</v>
      </c>
      <c r="B1804" s="14" t="n">
        <v>2024</v>
      </c>
      <c r="C1804" s="14" t="n">
        <v>11</v>
      </c>
      <c r="D1804" s="14" t="s">
        <v>60</v>
      </c>
      <c r="E1804" s="15" t="n">
        <v>1513660.43</v>
      </c>
      <c r="F1804" s="15" t="n">
        <v>662851.27</v>
      </c>
      <c r="G1804" s="16" t="n">
        <f aca="false">ROUND(E1804+F1804,2)</f>
        <v>2176511.7</v>
      </c>
    </row>
    <row r="1805" customFormat="false" ht="15" hidden="false" customHeight="false" outlineLevel="0" collapsed="false">
      <c r="A1805" s="14" t="s">
        <v>9</v>
      </c>
      <c r="B1805" s="14" t="n">
        <v>2024</v>
      </c>
      <c r="C1805" s="14" t="n">
        <v>12</v>
      </c>
      <c r="D1805" s="14" t="s">
        <v>61</v>
      </c>
      <c r="E1805" s="15" t="n">
        <v>1370344.14</v>
      </c>
      <c r="F1805" s="15" t="n">
        <v>734148.5</v>
      </c>
      <c r="G1805" s="16" t="n">
        <f aca="false">ROUND(E1805+F1805,2)</f>
        <v>2104492.64</v>
      </c>
    </row>
    <row r="1806" customFormat="false" ht="15" hidden="false" customHeight="false" outlineLevel="0" collapsed="false">
      <c r="A1806" s="14" t="s">
        <v>9</v>
      </c>
      <c r="B1806" s="14" t="n">
        <v>2025</v>
      </c>
      <c r="C1806" s="14" t="n">
        <v>1</v>
      </c>
      <c r="D1806" s="14" t="s">
        <v>50</v>
      </c>
      <c r="E1806" s="15" t="n">
        <v>1634622.87</v>
      </c>
      <c r="F1806" s="15" t="n">
        <v>713336.1</v>
      </c>
      <c r="G1806" s="16" t="n">
        <f aca="false">ROUND(E1806+F1806,2)</f>
        <v>2347958.97</v>
      </c>
    </row>
    <row r="1807" customFormat="false" ht="15" hidden="false" customHeight="false" outlineLevel="0" collapsed="false">
      <c r="A1807" s="14" t="s">
        <v>9</v>
      </c>
      <c r="B1807" s="14" t="n">
        <v>2025</v>
      </c>
      <c r="C1807" s="14" t="n">
        <v>2</v>
      </c>
      <c r="D1807" s="14" t="s">
        <v>51</v>
      </c>
      <c r="E1807" s="15" t="n">
        <v>1569114.52</v>
      </c>
      <c r="F1807" s="15" t="n">
        <v>657054.55</v>
      </c>
      <c r="G1807" s="16" t="n">
        <f aca="false">ROUND(E1807+F1807,2)</f>
        <v>2226169.07</v>
      </c>
    </row>
    <row r="1808" customFormat="false" ht="15" hidden="false" customHeight="false" outlineLevel="0" collapsed="false">
      <c r="A1808" s="14" t="s">
        <v>9</v>
      </c>
      <c r="B1808" s="14" t="n">
        <v>2025</v>
      </c>
      <c r="C1808" s="14" t="n">
        <v>3</v>
      </c>
      <c r="D1808" s="14" t="s">
        <v>52</v>
      </c>
      <c r="E1808" s="15" t="n">
        <v>1672629.76</v>
      </c>
      <c r="F1808" s="15" t="n">
        <v>635974</v>
      </c>
      <c r="G1808" s="16" t="n">
        <f aca="false">ROUND(E1808+F1808,2)</f>
        <v>2308603.76</v>
      </c>
    </row>
    <row r="1809" customFormat="false" ht="15" hidden="false" customHeight="false" outlineLevel="0" collapsed="false">
      <c r="A1809" s="14" t="s">
        <v>9</v>
      </c>
      <c r="B1809" s="14" t="n">
        <v>2025</v>
      </c>
      <c r="C1809" s="14" t="n">
        <v>4</v>
      </c>
      <c r="D1809" s="14" t="s">
        <v>53</v>
      </c>
      <c r="E1809" s="15" t="n">
        <v>1775700</v>
      </c>
      <c r="F1809" s="15" t="n">
        <v>677948.8</v>
      </c>
      <c r="G1809" s="16" t="n">
        <f aca="false">ROUND(E1809+F1809,2)</f>
        <v>2453648.8</v>
      </c>
    </row>
    <row r="1810" customFormat="false" ht="15" hidden="false" customHeight="false" outlineLevel="0" collapsed="false">
      <c r="A1810" s="14" t="s">
        <v>9</v>
      </c>
      <c r="B1810" s="14" t="n">
        <v>2025</v>
      </c>
      <c r="C1810" s="14" t="n">
        <v>5</v>
      </c>
      <c r="D1810" s="14" t="s">
        <v>54</v>
      </c>
      <c r="E1810" s="15" t="n">
        <v>1689460.03</v>
      </c>
      <c r="F1810" s="15" t="n">
        <v>645292.95</v>
      </c>
      <c r="G1810" s="16" t="n">
        <f aca="false">ROUND(E1810+F1810,2)</f>
        <v>2334752.98</v>
      </c>
    </row>
    <row r="1811" customFormat="false" ht="15" hidden="false" customHeight="false" outlineLevel="0" collapsed="false">
      <c r="A1811" s="14" t="s">
        <v>9</v>
      </c>
      <c r="B1811" s="14" t="n">
        <v>2025</v>
      </c>
      <c r="C1811" s="14" t="n">
        <v>6</v>
      </c>
      <c r="D1811" s="14" t="s">
        <v>55</v>
      </c>
      <c r="E1811" s="15" t="n">
        <v>1631749.79</v>
      </c>
      <c r="F1811" s="15" t="n">
        <v>669924.06</v>
      </c>
      <c r="G1811" s="16" t="n">
        <f aca="false">ROUND(E1811+F1811,2)</f>
        <v>2301673.85</v>
      </c>
    </row>
    <row r="1812" customFormat="false" ht="15" hidden="false" customHeight="false" outlineLevel="0" collapsed="false">
      <c r="A1812" s="14" t="s">
        <v>9</v>
      </c>
      <c r="B1812" s="14" t="n">
        <v>2025</v>
      </c>
      <c r="C1812" s="14" t="n">
        <v>7</v>
      </c>
      <c r="D1812" s="14" t="s">
        <v>56</v>
      </c>
      <c r="E1812" s="15" t="n">
        <v>1708470.03</v>
      </c>
      <c r="F1812" s="15" t="n">
        <v>729401.07</v>
      </c>
      <c r="G1812" s="16" t="n">
        <f aca="false">ROUND(E1812+F1812,2)</f>
        <v>2437871.1</v>
      </c>
    </row>
    <row r="1813" customFormat="false" ht="15" hidden="false" customHeight="false" outlineLevel="0" collapsed="false">
      <c r="A1813" s="14" t="s">
        <v>9</v>
      </c>
      <c r="B1813" s="14" t="n">
        <v>2025</v>
      </c>
      <c r="C1813" s="14" t="n">
        <v>8</v>
      </c>
      <c r="D1813" s="14" t="s">
        <v>57</v>
      </c>
      <c r="E1813" s="15" t="n">
        <v>1658497.21</v>
      </c>
      <c r="F1813" s="15" t="n">
        <v>630145.22</v>
      </c>
      <c r="G1813" s="16" t="n">
        <f aca="false">ROUND(E1813+F1813,2)</f>
        <v>2288642.43</v>
      </c>
    </row>
    <row r="1814" customFormat="false" ht="15" hidden="false" customHeight="false" outlineLevel="0" collapsed="false">
      <c r="A1814" s="14" t="s">
        <v>9</v>
      </c>
      <c r="B1814" s="14" t="n">
        <v>2025</v>
      </c>
      <c r="C1814" s="14" t="n">
        <v>9</v>
      </c>
      <c r="D1814" s="14" t="s">
        <v>58</v>
      </c>
      <c r="E1814" s="15" t="n">
        <v>1543591.39</v>
      </c>
      <c r="F1814" s="15" t="n">
        <v>577764.52</v>
      </c>
      <c r="G1814" s="16" t="n">
        <f aca="false">ROUND(E1814+F1814,2)</f>
        <v>2121355.91</v>
      </c>
    </row>
    <row r="1815" customFormat="false" ht="15" hidden="false" customHeight="false" outlineLevel="0" collapsed="false">
      <c r="A1815" s="14" t="s">
        <v>9</v>
      </c>
      <c r="B1815" s="14" t="n">
        <v>2025</v>
      </c>
      <c r="C1815" s="14" t="n">
        <v>10</v>
      </c>
      <c r="D1815" s="14" t="s">
        <v>59</v>
      </c>
      <c r="E1815" s="15" t="n">
        <v>1695959.72</v>
      </c>
      <c r="F1815" s="15" t="n">
        <v>681676.86</v>
      </c>
      <c r="G1815" s="16" t="n">
        <f aca="false">ROUND(E1815+F1815,2)</f>
        <v>2377636.58</v>
      </c>
    </row>
    <row r="1816" customFormat="false" ht="15" hidden="false" customHeight="false" outlineLevel="0" collapsed="false">
      <c r="A1816" s="14" t="s">
        <v>9</v>
      </c>
      <c r="B1816" s="14" t="n">
        <v>2025</v>
      </c>
      <c r="C1816" s="14" t="n">
        <v>11</v>
      </c>
      <c r="D1816" s="14" t="s">
        <v>60</v>
      </c>
      <c r="E1816" s="15" t="n">
        <v>1611627.35</v>
      </c>
      <c r="F1816" s="15" t="n">
        <v>590759.34</v>
      </c>
      <c r="G1816" s="16" t="n">
        <f aca="false">ROUND(E1816+F1816,2)</f>
        <v>2202386.69</v>
      </c>
    </row>
    <row r="1817" customFormat="false" ht="15" hidden="false" customHeight="false" outlineLevel="0" collapsed="false">
      <c r="A1817" s="14" t="s">
        <v>9</v>
      </c>
      <c r="B1817" s="14" t="n">
        <v>2025</v>
      </c>
      <c r="C1817" s="14" t="n">
        <v>12</v>
      </c>
      <c r="D1817" s="14" t="s">
        <v>61</v>
      </c>
      <c r="E1817" s="15" t="n">
        <v>1697365.28</v>
      </c>
      <c r="F1817" s="15" t="n">
        <v>728590.78</v>
      </c>
      <c r="G1817" s="16" t="n">
        <f aca="false">ROUND(E1817+F1817,2)</f>
        <v>2425956.06</v>
      </c>
    </row>
    <row r="1818" customFormat="false" ht="15" hidden="false" customHeight="false" outlineLevel="0" collapsed="false">
      <c r="A1818" s="14" t="s">
        <v>9</v>
      </c>
      <c r="B1818" s="14" t="n">
        <v>2026</v>
      </c>
      <c r="C1818" s="14" t="n">
        <v>1</v>
      </c>
      <c r="D1818" s="14" t="s">
        <v>50</v>
      </c>
      <c r="E1818" s="15" t="n">
        <v>1720532.17</v>
      </c>
      <c r="F1818" s="15" t="n">
        <v>617198.08</v>
      </c>
      <c r="G1818" s="16" t="n">
        <f aca="false">ROUND(E1818+F1818,2)</f>
        <v>2337730.25</v>
      </c>
    </row>
    <row r="1819" customFormat="false" ht="15" hidden="false" customHeight="false" outlineLevel="0" collapsed="false">
      <c r="A1819" s="14" t="s">
        <v>9</v>
      </c>
      <c r="B1819" s="14" t="n">
        <v>2026</v>
      </c>
      <c r="C1819" s="14" t="n">
        <v>2</v>
      </c>
      <c r="D1819" s="14" t="s">
        <v>51</v>
      </c>
      <c r="E1819" s="15" t="n">
        <v>1673367.3</v>
      </c>
      <c r="F1819" s="15" t="n">
        <v>588839.2</v>
      </c>
      <c r="G1819" s="16" t="n">
        <f aca="false">ROUND(E1819+F1819,2)</f>
        <v>2262206.5</v>
      </c>
    </row>
    <row r="1820" customFormat="false" ht="15" hidden="false" customHeight="false" outlineLevel="0" collapsed="false">
      <c r="A1820" s="14" t="s">
        <v>9</v>
      </c>
      <c r="B1820" s="14" t="n">
        <v>2026</v>
      </c>
      <c r="C1820" s="14" t="n">
        <v>3</v>
      </c>
      <c r="D1820" s="14" t="s">
        <v>52</v>
      </c>
      <c r="E1820" s="15" t="n">
        <v>1754105.28</v>
      </c>
      <c r="F1820" s="15" t="n">
        <v>644860.89</v>
      </c>
      <c r="G1820" s="16" t="n">
        <f aca="false">ROUND(E1820+F1820,2)</f>
        <v>2398966.17</v>
      </c>
    </row>
    <row r="1821" customFormat="false" ht="15" hidden="false" customHeight="false" outlineLevel="0" collapsed="false">
      <c r="A1821" s="14" t="s">
        <v>9</v>
      </c>
      <c r="B1821" s="14" t="n">
        <v>2026</v>
      </c>
      <c r="C1821" s="14" t="n">
        <v>4</v>
      </c>
      <c r="D1821" s="14" t="s">
        <v>53</v>
      </c>
      <c r="E1821" s="15" t="n">
        <v>1863804.73</v>
      </c>
      <c r="F1821" s="15" t="n">
        <v>655339.82</v>
      </c>
      <c r="G1821" s="16" t="n">
        <f aca="false">ROUND(E1821+F1821,2)</f>
        <v>2519144.55</v>
      </c>
    </row>
    <row r="1822" customFormat="false" ht="15" hidden="false" customHeight="false" outlineLevel="0" collapsed="false">
      <c r="A1822" s="14" t="s">
        <v>9</v>
      </c>
      <c r="B1822" s="14" t="n">
        <v>2026</v>
      </c>
      <c r="C1822" s="14" t="n">
        <v>5</v>
      </c>
      <c r="D1822" s="14" t="s">
        <v>54</v>
      </c>
      <c r="E1822" s="15" t="n">
        <v>1789726.63</v>
      </c>
      <c r="F1822" s="15" t="n">
        <v>664031.3</v>
      </c>
      <c r="G1822" s="16" t="n">
        <f aca="false">ROUND(E1822+F1822,2)</f>
        <v>2453757.93</v>
      </c>
    </row>
    <row r="1823" customFormat="false" ht="15" hidden="false" customHeight="false" outlineLevel="0" collapsed="false">
      <c r="A1823" s="14" t="s">
        <v>9</v>
      </c>
      <c r="B1823" s="14" t="n">
        <v>2026</v>
      </c>
      <c r="C1823" s="14" t="n">
        <v>6</v>
      </c>
      <c r="D1823" s="14" t="s">
        <v>55</v>
      </c>
      <c r="E1823" s="15" t="n">
        <v>1807003.34</v>
      </c>
      <c r="F1823" s="15" t="n">
        <v>746916.29</v>
      </c>
      <c r="G1823" s="16" t="n">
        <f aca="false">ROUND(E1823+F1823,2)</f>
        <v>2553919.63</v>
      </c>
    </row>
    <row r="1824" customFormat="false" ht="15" hidden="false" customHeight="false" outlineLevel="0" collapsed="false">
      <c r="A1824" s="14" t="s">
        <v>9</v>
      </c>
      <c r="B1824" s="14" t="n">
        <v>2026</v>
      </c>
      <c r="C1824" s="14" t="n">
        <v>7</v>
      </c>
      <c r="D1824" s="14" t="s">
        <v>56</v>
      </c>
      <c r="E1824" s="15" t="n">
        <v>1975411.6</v>
      </c>
      <c r="F1824" s="15" t="n">
        <v>741503.98</v>
      </c>
      <c r="G1824" s="16" t="n">
        <f aca="false">ROUND(E1824+F1824,2)</f>
        <v>2716915.58</v>
      </c>
    </row>
    <row r="1825" customFormat="false" ht="15" hidden="false" customHeight="false" outlineLevel="0" collapsed="false">
      <c r="A1825" s="14" t="s">
        <v>20</v>
      </c>
      <c r="B1825" s="14" t="n">
        <v>2021</v>
      </c>
      <c r="C1825" s="14" t="n">
        <v>1</v>
      </c>
      <c r="D1825" s="14" t="s">
        <v>50</v>
      </c>
      <c r="E1825" s="15" t="n">
        <v>190237.96</v>
      </c>
      <c r="F1825" s="15" t="n">
        <v>96174.56</v>
      </c>
      <c r="G1825" s="16" t="n">
        <f aca="false">ROUND(E1825+F1825,2)</f>
        <v>286412.52</v>
      </c>
    </row>
    <row r="1826" customFormat="false" ht="15" hidden="false" customHeight="false" outlineLevel="0" collapsed="false">
      <c r="A1826" s="14" t="s">
        <v>20</v>
      </c>
      <c r="B1826" s="14" t="n">
        <v>2021</v>
      </c>
      <c r="C1826" s="14" t="n">
        <v>2</v>
      </c>
      <c r="D1826" s="14" t="s">
        <v>51</v>
      </c>
      <c r="E1826" s="15" t="n">
        <v>236608.33</v>
      </c>
      <c r="F1826" s="15" t="n">
        <v>107867.1</v>
      </c>
      <c r="G1826" s="16" t="n">
        <f aca="false">ROUND(E1826+F1826,2)</f>
        <v>344475.43</v>
      </c>
    </row>
    <row r="1827" customFormat="false" ht="15" hidden="false" customHeight="false" outlineLevel="0" collapsed="false">
      <c r="A1827" s="14" t="s">
        <v>20</v>
      </c>
      <c r="B1827" s="14" t="n">
        <v>2021</v>
      </c>
      <c r="C1827" s="14" t="n">
        <v>3</v>
      </c>
      <c r="D1827" s="14" t="s">
        <v>52</v>
      </c>
      <c r="E1827" s="15" t="n">
        <v>293845.26</v>
      </c>
      <c r="F1827" s="15" t="n">
        <v>148635.98</v>
      </c>
      <c r="G1827" s="16" t="n">
        <f aca="false">ROUND(E1827+F1827,2)</f>
        <v>442481.24</v>
      </c>
    </row>
    <row r="1828" customFormat="false" ht="15" hidden="false" customHeight="false" outlineLevel="0" collapsed="false">
      <c r="A1828" s="14" t="s">
        <v>20</v>
      </c>
      <c r="B1828" s="14" t="n">
        <v>2021</v>
      </c>
      <c r="C1828" s="14" t="n">
        <v>4</v>
      </c>
      <c r="D1828" s="14" t="s">
        <v>53</v>
      </c>
      <c r="E1828" s="15" t="n">
        <v>266673.53</v>
      </c>
      <c r="F1828" s="15" t="n">
        <v>149736.5</v>
      </c>
      <c r="G1828" s="16" t="n">
        <f aca="false">ROUND(E1828+F1828,2)</f>
        <v>416410.03</v>
      </c>
    </row>
    <row r="1829" customFormat="false" ht="15" hidden="false" customHeight="false" outlineLevel="0" collapsed="false">
      <c r="A1829" s="14" t="s">
        <v>20</v>
      </c>
      <c r="B1829" s="14" t="n">
        <v>2021</v>
      </c>
      <c r="C1829" s="14" t="n">
        <v>5</v>
      </c>
      <c r="D1829" s="14" t="s">
        <v>54</v>
      </c>
      <c r="E1829" s="15" t="n">
        <v>266769.33</v>
      </c>
      <c r="F1829" s="15" t="n">
        <v>121510.62</v>
      </c>
      <c r="G1829" s="16" t="n">
        <f aca="false">ROUND(E1829+F1829,2)</f>
        <v>388279.95</v>
      </c>
    </row>
    <row r="1830" customFormat="false" ht="15" hidden="false" customHeight="false" outlineLevel="0" collapsed="false">
      <c r="A1830" s="14" t="s">
        <v>20</v>
      </c>
      <c r="B1830" s="14" t="n">
        <v>2021</v>
      </c>
      <c r="C1830" s="14" t="n">
        <v>6</v>
      </c>
      <c r="D1830" s="14" t="s">
        <v>55</v>
      </c>
      <c r="E1830" s="15" t="n">
        <v>303266.55</v>
      </c>
      <c r="F1830" s="15" t="n">
        <v>142377.2</v>
      </c>
      <c r="G1830" s="16" t="n">
        <f aca="false">ROUND(E1830+F1830,2)</f>
        <v>445643.75</v>
      </c>
    </row>
    <row r="1831" customFormat="false" ht="15" hidden="false" customHeight="false" outlineLevel="0" collapsed="false">
      <c r="A1831" s="14" t="s">
        <v>20</v>
      </c>
      <c r="B1831" s="14" t="n">
        <v>2021</v>
      </c>
      <c r="C1831" s="14" t="n">
        <v>7</v>
      </c>
      <c r="D1831" s="14" t="s">
        <v>56</v>
      </c>
      <c r="E1831" s="15" t="n">
        <v>331864.37</v>
      </c>
      <c r="F1831" s="15" t="n">
        <v>163596.22</v>
      </c>
      <c r="G1831" s="16" t="n">
        <f aca="false">ROUND(E1831+F1831,2)</f>
        <v>495460.59</v>
      </c>
    </row>
    <row r="1832" customFormat="false" ht="15" hidden="false" customHeight="false" outlineLevel="0" collapsed="false">
      <c r="A1832" s="14" t="s">
        <v>20</v>
      </c>
      <c r="B1832" s="14" t="n">
        <v>2021</v>
      </c>
      <c r="C1832" s="14" t="n">
        <v>8</v>
      </c>
      <c r="D1832" s="14" t="s">
        <v>57</v>
      </c>
      <c r="E1832" s="15" t="n">
        <v>305766.29</v>
      </c>
      <c r="F1832" s="15" t="n">
        <v>149320.19</v>
      </c>
      <c r="G1832" s="16" t="n">
        <f aca="false">ROUND(E1832+F1832,2)</f>
        <v>455086.48</v>
      </c>
    </row>
    <row r="1833" customFormat="false" ht="15" hidden="false" customHeight="false" outlineLevel="0" collapsed="false">
      <c r="A1833" s="14" t="s">
        <v>20</v>
      </c>
      <c r="B1833" s="14" t="n">
        <v>2021</v>
      </c>
      <c r="C1833" s="14" t="n">
        <v>9</v>
      </c>
      <c r="D1833" s="14" t="s">
        <v>58</v>
      </c>
      <c r="E1833" s="15" t="n">
        <v>312922.84</v>
      </c>
      <c r="F1833" s="15" t="n">
        <v>145284.98</v>
      </c>
      <c r="G1833" s="16" t="n">
        <f aca="false">ROUND(E1833+F1833,2)</f>
        <v>458207.82</v>
      </c>
    </row>
    <row r="1834" customFormat="false" ht="15" hidden="false" customHeight="false" outlineLevel="0" collapsed="false">
      <c r="A1834" s="14" t="s">
        <v>20</v>
      </c>
      <c r="B1834" s="14" t="n">
        <v>2021</v>
      </c>
      <c r="C1834" s="14" t="n">
        <v>10</v>
      </c>
      <c r="D1834" s="14" t="s">
        <v>59</v>
      </c>
      <c r="E1834" s="15" t="n">
        <v>309346.63</v>
      </c>
      <c r="F1834" s="15" t="n">
        <v>153965.07</v>
      </c>
      <c r="G1834" s="16" t="n">
        <f aca="false">ROUND(E1834+F1834,2)</f>
        <v>463311.7</v>
      </c>
    </row>
    <row r="1835" customFormat="false" ht="15" hidden="false" customHeight="false" outlineLevel="0" collapsed="false">
      <c r="A1835" s="14" t="s">
        <v>20</v>
      </c>
      <c r="B1835" s="14" t="n">
        <v>2021</v>
      </c>
      <c r="C1835" s="14" t="n">
        <v>11</v>
      </c>
      <c r="D1835" s="14" t="s">
        <v>60</v>
      </c>
      <c r="E1835" s="15" t="n">
        <v>200812.95</v>
      </c>
      <c r="F1835" s="15" t="n">
        <v>103649.71</v>
      </c>
      <c r="G1835" s="16" t="n">
        <f aca="false">ROUND(E1835+F1835,2)</f>
        <v>304462.66</v>
      </c>
    </row>
    <row r="1836" customFormat="false" ht="15" hidden="false" customHeight="false" outlineLevel="0" collapsed="false">
      <c r="A1836" s="14" t="s">
        <v>20</v>
      </c>
      <c r="B1836" s="14" t="n">
        <v>2021</v>
      </c>
      <c r="C1836" s="14" t="n">
        <v>12</v>
      </c>
      <c r="D1836" s="14" t="s">
        <v>61</v>
      </c>
      <c r="E1836" s="15" t="n">
        <v>306067.29</v>
      </c>
      <c r="F1836" s="15" t="n">
        <v>144178.4</v>
      </c>
      <c r="G1836" s="16" t="n">
        <f aca="false">ROUND(E1836+F1836,2)</f>
        <v>450245.69</v>
      </c>
    </row>
    <row r="1837" customFormat="false" ht="15" hidden="false" customHeight="false" outlineLevel="0" collapsed="false">
      <c r="A1837" s="14" t="s">
        <v>20</v>
      </c>
      <c r="B1837" s="14" t="n">
        <v>2022</v>
      </c>
      <c r="C1837" s="14" t="n">
        <v>1</v>
      </c>
      <c r="D1837" s="14" t="s">
        <v>50</v>
      </c>
      <c r="E1837" s="15" t="n">
        <v>275928.12</v>
      </c>
      <c r="F1837" s="15" t="n">
        <v>120273.84</v>
      </c>
      <c r="G1837" s="16" t="n">
        <f aca="false">ROUND(E1837+F1837,2)</f>
        <v>396201.96</v>
      </c>
    </row>
    <row r="1838" customFormat="false" ht="15" hidden="false" customHeight="false" outlineLevel="0" collapsed="false">
      <c r="A1838" s="14" t="s">
        <v>20</v>
      </c>
      <c r="B1838" s="14" t="n">
        <v>2022</v>
      </c>
      <c r="C1838" s="14" t="n">
        <v>2</v>
      </c>
      <c r="D1838" s="14" t="s">
        <v>51</v>
      </c>
      <c r="E1838" s="15" t="n">
        <v>263677.81</v>
      </c>
      <c r="F1838" s="15" t="n">
        <v>124721.36</v>
      </c>
      <c r="G1838" s="16" t="n">
        <f aca="false">ROUND(E1838+F1838,2)</f>
        <v>388399.17</v>
      </c>
    </row>
    <row r="1839" customFormat="false" ht="15" hidden="false" customHeight="false" outlineLevel="0" collapsed="false">
      <c r="A1839" s="14" t="s">
        <v>20</v>
      </c>
      <c r="B1839" s="14" t="n">
        <v>2022</v>
      </c>
      <c r="C1839" s="14" t="n">
        <v>3</v>
      </c>
      <c r="D1839" s="14" t="s">
        <v>52</v>
      </c>
      <c r="E1839" s="15" t="n">
        <v>325729.39</v>
      </c>
      <c r="F1839" s="15" t="n">
        <v>148274.16</v>
      </c>
      <c r="G1839" s="16" t="n">
        <f aca="false">ROUND(E1839+F1839,2)</f>
        <v>474003.55</v>
      </c>
    </row>
    <row r="1840" customFormat="false" ht="15" hidden="false" customHeight="false" outlineLevel="0" collapsed="false">
      <c r="A1840" s="14" t="s">
        <v>20</v>
      </c>
      <c r="B1840" s="14" t="n">
        <v>2022</v>
      </c>
      <c r="C1840" s="14" t="n">
        <v>4</v>
      </c>
      <c r="D1840" s="14" t="s">
        <v>53</v>
      </c>
      <c r="E1840" s="15" t="n">
        <v>293111.17</v>
      </c>
      <c r="F1840" s="15" t="n">
        <v>142884.05</v>
      </c>
      <c r="G1840" s="16" t="n">
        <f aca="false">ROUND(E1840+F1840,2)</f>
        <v>435995.22</v>
      </c>
    </row>
    <row r="1841" customFormat="false" ht="15" hidden="false" customHeight="false" outlineLevel="0" collapsed="false">
      <c r="A1841" s="14" t="s">
        <v>20</v>
      </c>
      <c r="B1841" s="14" t="n">
        <v>2022</v>
      </c>
      <c r="C1841" s="14" t="n">
        <v>5</v>
      </c>
      <c r="D1841" s="14" t="s">
        <v>54</v>
      </c>
      <c r="E1841" s="15" t="n">
        <v>323706.43</v>
      </c>
      <c r="F1841" s="15" t="n">
        <v>137146.07</v>
      </c>
      <c r="G1841" s="16" t="n">
        <f aca="false">ROUND(E1841+F1841,2)</f>
        <v>460852.5</v>
      </c>
    </row>
    <row r="1842" customFormat="false" ht="15" hidden="false" customHeight="false" outlineLevel="0" collapsed="false">
      <c r="A1842" s="14" t="s">
        <v>20</v>
      </c>
      <c r="B1842" s="14" t="n">
        <v>2022</v>
      </c>
      <c r="C1842" s="14" t="n">
        <v>6</v>
      </c>
      <c r="D1842" s="14" t="s">
        <v>55</v>
      </c>
      <c r="E1842" s="15" t="n">
        <v>341359.62</v>
      </c>
      <c r="F1842" s="15" t="n">
        <v>137281.42</v>
      </c>
      <c r="G1842" s="16" t="n">
        <f aca="false">ROUND(E1842+F1842,2)</f>
        <v>478641.04</v>
      </c>
    </row>
    <row r="1843" customFormat="false" ht="15" hidden="false" customHeight="false" outlineLevel="0" collapsed="false">
      <c r="A1843" s="14" t="s">
        <v>20</v>
      </c>
      <c r="B1843" s="14" t="n">
        <v>2022</v>
      </c>
      <c r="C1843" s="14" t="n">
        <v>7</v>
      </c>
      <c r="D1843" s="14" t="s">
        <v>56</v>
      </c>
      <c r="E1843" s="15" t="n">
        <v>307774.63</v>
      </c>
      <c r="F1843" s="15" t="n">
        <v>134262.16</v>
      </c>
      <c r="G1843" s="16" t="n">
        <f aca="false">ROUND(E1843+F1843,2)</f>
        <v>442036.79</v>
      </c>
    </row>
    <row r="1844" customFormat="false" ht="15" hidden="false" customHeight="false" outlineLevel="0" collapsed="false">
      <c r="A1844" s="14" t="s">
        <v>20</v>
      </c>
      <c r="B1844" s="14" t="n">
        <v>2022</v>
      </c>
      <c r="C1844" s="14" t="n">
        <v>8</v>
      </c>
      <c r="D1844" s="14" t="s">
        <v>57</v>
      </c>
      <c r="E1844" s="15" t="n">
        <v>337952.32</v>
      </c>
      <c r="F1844" s="15" t="n">
        <v>155856.58</v>
      </c>
      <c r="G1844" s="16" t="n">
        <f aca="false">ROUND(E1844+F1844,2)</f>
        <v>493808.9</v>
      </c>
    </row>
    <row r="1845" customFormat="false" ht="15" hidden="false" customHeight="false" outlineLevel="0" collapsed="false">
      <c r="A1845" s="14" t="s">
        <v>20</v>
      </c>
      <c r="B1845" s="14" t="n">
        <v>2022</v>
      </c>
      <c r="C1845" s="14" t="n">
        <v>9</v>
      </c>
      <c r="D1845" s="14" t="s">
        <v>58</v>
      </c>
      <c r="E1845" s="15" t="n">
        <v>299656.96</v>
      </c>
      <c r="F1845" s="15" t="n">
        <v>124305.49</v>
      </c>
      <c r="G1845" s="16" t="n">
        <f aca="false">ROUND(E1845+F1845,2)</f>
        <v>423962.45</v>
      </c>
    </row>
    <row r="1846" customFormat="false" ht="15" hidden="false" customHeight="false" outlineLevel="0" collapsed="false">
      <c r="A1846" s="14" t="s">
        <v>20</v>
      </c>
      <c r="B1846" s="14" t="n">
        <v>2022</v>
      </c>
      <c r="C1846" s="14" t="n">
        <v>10</v>
      </c>
      <c r="D1846" s="14" t="s">
        <v>59</v>
      </c>
      <c r="E1846" s="15" t="n">
        <v>263979.33</v>
      </c>
      <c r="F1846" s="15" t="n">
        <v>124377.44</v>
      </c>
      <c r="G1846" s="16" t="n">
        <f aca="false">ROUND(E1846+F1846,2)</f>
        <v>388356.77</v>
      </c>
    </row>
    <row r="1847" customFormat="false" ht="15" hidden="false" customHeight="false" outlineLevel="0" collapsed="false">
      <c r="A1847" s="14" t="s">
        <v>20</v>
      </c>
      <c r="B1847" s="14" t="n">
        <v>2022</v>
      </c>
      <c r="C1847" s="14" t="n">
        <v>11</v>
      </c>
      <c r="D1847" s="14" t="s">
        <v>60</v>
      </c>
      <c r="E1847" s="15" t="n">
        <v>300577.88</v>
      </c>
      <c r="F1847" s="15" t="n">
        <v>129112.92</v>
      </c>
      <c r="G1847" s="16" t="n">
        <f aca="false">ROUND(E1847+F1847,2)</f>
        <v>429690.8</v>
      </c>
    </row>
    <row r="1848" customFormat="false" ht="15" hidden="false" customHeight="false" outlineLevel="0" collapsed="false">
      <c r="A1848" s="14" t="s">
        <v>20</v>
      </c>
      <c r="B1848" s="14" t="n">
        <v>2022</v>
      </c>
      <c r="C1848" s="14" t="n">
        <v>12</v>
      </c>
      <c r="D1848" s="14" t="s">
        <v>61</v>
      </c>
      <c r="E1848" s="15" t="n">
        <v>294987.82</v>
      </c>
      <c r="F1848" s="15" t="n">
        <v>122830.29</v>
      </c>
      <c r="G1848" s="16" t="n">
        <f aca="false">ROUND(E1848+F1848,2)</f>
        <v>417818.11</v>
      </c>
    </row>
    <row r="1849" customFormat="false" ht="15" hidden="false" customHeight="false" outlineLevel="0" collapsed="false">
      <c r="A1849" s="14" t="s">
        <v>20</v>
      </c>
      <c r="B1849" s="14" t="n">
        <v>2023</v>
      </c>
      <c r="C1849" s="14" t="n">
        <v>1</v>
      </c>
      <c r="D1849" s="14" t="s">
        <v>50</v>
      </c>
      <c r="E1849" s="15" t="n">
        <v>276257.73</v>
      </c>
      <c r="F1849" s="15" t="n">
        <v>123579.75</v>
      </c>
      <c r="G1849" s="16" t="n">
        <f aca="false">ROUND(E1849+F1849,2)</f>
        <v>399837.48</v>
      </c>
    </row>
    <row r="1850" customFormat="false" ht="15" hidden="false" customHeight="false" outlineLevel="0" collapsed="false">
      <c r="A1850" s="14" t="s">
        <v>20</v>
      </c>
      <c r="B1850" s="14" t="n">
        <v>2023</v>
      </c>
      <c r="C1850" s="14" t="n">
        <v>2</v>
      </c>
      <c r="D1850" s="14" t="s">
        <v>51</v>
      </c>
      <c r="E1850" s="15" t="n">
        <v>291342.66</v>
      </c>
      <c r="F1850" s="15" t="n">
        <v>117238.77</v>
      </c>
      <c r="G1850" s="16" t="n">
        <f aca="false">ROUND(E1850+F1850,2)</f>
        <v>408581.43</v>
      </c>
    </row>
    <row r="1851" customFormat="false" ht="15" hidden="false" customHeight="false" outlineLevel="0" collapsed="false">
      <c r="A1851" s="14" t="s">
        <v>20</v>
      </c>
      <c r="B1851" s="14" t="n">
        <v>2023</v>
      </c>
      <c r="C1851" s="14" t="n">
        <v>3</v>
      </c>
      <c r="D1851" s="14" t="s">
        <v>52</v>
      </c>
      <c r="E1851" s="15" t="n">
        <v>320934.3</v>
      </c>
      <c r="F1851" s="15" t="n">
        <v>134643.23</v>
      </c>
      <c r="G1851" s="16" t="n">
        <f aca="false">ROUND(E1851+F1851,2)</f>
        <v>455577.53</v>
      </c>
    </row>
    <row r="1852" customFormat="false" ht="15" hidden="false" customHeight="false" outlineLevel="0" collapsed="false">
      <c r="A1852" s="14" t="s">
        <v>20</v>
      </c>
      <c r="B1852" s="14" t="n">
        <v>2023</v>
      </c>
      <c r="C1852" s="14" t="n">
        <v>4</v>
      </c>
      <c r="D1852" s="14" t="s">
        <v>53</v>
      </c>
      <c r="E1852" s="15" t="n">
        <v>293083.75</v>
      </c>
      <c r="F1852" s="15" t="n">
        <v>135276.34</v>
      </c>
      <c r="G1852" s="16" t="n">
        <f aca="false">ROUND(E1852+F1852,2)</f>
        <v>428360.09</v>
      </c>
    </row>
    <row r="1853" customFormat="false" ht="15" hidden="false" customHeight="false" outlineLevel="0" collapsed="false">
      <c r="A1853" s="14" t="s">
        <v>20</v>
      </c>
      <c r="B1853" s="14" t="n">
        <v>2023</v>
      </c>
      <c r="C1853" s="14" t="n">
        <v>5</v>
      </c>
      <c r="D1853" s="14" t="s">
        <v>54</v>
      </c>
      <c r="E1853" s="15" t="n">
        <v>325580.57</v>
      </c>
      <c r="F1853" s="15" t="n">
        <v>150861.72</v>
      </c>
      <c r="G1853" s="16" t="n">
        <f aca="false">ROUND(E1853+F1853,2)</f>
        <v>476442.29</v>
      </c>
    </row>
    <row r="1854" customFormat="false" ht="15" hidden="false" customHeight="false" outlineLevel="0" collapsed="false">
      <c r="A1854" s="14" t="s">
        <v>20</v>
      </c>
      <c r="B1854" s="14" t="n">
        <v>2023</v>
      </c>
      <c r="C1854" s="14" t="n">
        <v>6</v>
      </c>
      <c r="D1854" s="14" t="s">
        <v>55</v>
      </c>
      <c r="E1854" s="15" t="n">
        <v>341146.44</v>
      </c>
      <c r="F1854" s="15" t="n">
        <v>156844.73</v>
      </c>
      <c r="G1854" s="16" t="n">
        <f aca="false">ROUND(E1854+F1854,2)</f>
        <v>497991.17</v>
      </c>
    </row>
    <row r="1855" customFormat="false" ht="15" hidden="false" customHeight="false" outlineLevel="0" collapsed="false">
      <c r="A1855" s="14" t="s">
        <v>20</v>
      </c>
      <c r="B1855" s="14" t="n">
        <v>2023</v>
      </c>
      <c r="C1855" s="14" t="n">
        <v>7</v>
      </c>
      <c r="D1855" s="14" t="s">
        <v>56</v>
      </c>
      <c r="E1855" s="15" t="n">
        <v>322867.01</v>
      </c>
      <c r="F1855" s="15" t="n">
        <v>164981.15</v>
      </c>
      <c r="G1855" s="16" t="n">
        <f aca="false">ROUND(E1855+F1855,2)</f>
        <v>487848.16</v>
      </c>
    </row>
    <row r="1856" customFormat="false" ht="15" hidden="false" customHeight="false" outlineLevel="0" collapsed="false">
      <c r="A1856" s="14" t="s">
        <v>20</v>
      </c>
      <c r="B1856" s="14" t="n">
        <v>2023</v>
      </c>
      <c r="C1856" s="14" t="n">
        <v>8</v>
      </c>
      <c r="D1856" s="14" t="s">
        <v>57</v>
      </c>
      <c r="E1856" s="15" t="n">
        <v>371805.27</v>
      </c>
      <c r="F1856" s="15" t="n">
        <v>191592.36</v>
      </c>
      <c r="G1856" s="16" t="n">
        <f aca="false">ROUND(E1856+F1856,2)</f>
        <v>563397.63</v>
      </c>
    </row>
    <row r="1857" customFormat="false" ht="15" hidden="false" customHeight="false" outlineLevel="0" collapsed="false">
      <c r="A1857" s="14" t="s">
        <v>20</v>
      </c>
      <c r="B1857" s="14" t="n">
        <v>2023</v>
      </c>
      <c r="C1857" s="14" t="n">
        <v>9</v>
      </c>
      <c r="D1857" s="14" t="s">
        <v>58</v>
      </c>
      <c r="E1857" s="15" t="n">
        <v>323092.6</v>
      </c>
      <c r="F1857" s="15" t="n">
        <v>160066.9</v>
      </c>
      <c r="G1857" s="16" t="n">
        <f aca="false">ROUND(E1857+F1857,2)</f>
        <v>483159.5</v>
      </c>
    </row>
    <row r="1858" customFormat="false" ht="15" hidden="false" customHeight="false" outlineLevel="0" collapsed="false">
      <c r="A1858" s="14" t="s">
        <v>20</v>
      </c>
      <c r="B1858" s="14" t="n">
        <v>2023</v>
      </c>
      <c r="C1858" s="14" t="n">
        <v>10</v>
      </c>
      <c r="D1858" s="14" t="s">
        <v>59</v>
      </c>
      <c r="E1858" s="15" t="n">
        <v>320676.67</v>
      </c>
      <c r="F1858" s="15" t="n">
        <v>173996.73</v>
      </c>
      <c r="G1858" s="16" t="n">
        <f aca="false">ROUND(E1858+F1858,2)</f>
        <v>494673.4</v>
      </c>
    </row>
    <row r="1859" customFormat="false" ht="15" hidden="false" customHeight="false" outlineLevel="0" collapsed="false">
      <c r="A1859" s="14" t="s">
        <v>20</v>
      </c>
      <c r="B1859" s="14" t="n">
        <v>2023</v>
      </c>
      <c r="C1859" s="14" t="n">
        <v>11</v>
      </c>
      <c r="D1859" s="14" t="s">
        <v>60</v>
      </c>
      <c r="E1859" s="15" t="n">
        <v>249591.11</v>
      </c>
      <c r="F1859" s="15" t="n">
        <v>115490.56</v>
      </c>
      <c r="G1859" s="16" t="n">
        <f aca="false">ROUND(E1859+F1859,2)</f>
        <v>365081.67</v>
      </c>
    </row>
    <row r="1860" customFormat="false" ht="15" hidden="false" customHeight="false" outlineLevel="0" collapsed="false">
      <c r="A1860" s="14" t="s">
        <v>20</v>
      </c>
      <c r="B1860" s="14" t="n">
        <v>2023</v>
      </c>
      <c r="C1860" s="14" t="n">
        <v>12</v>
      </c>
      <c r="D1860" s="14" t="s">
        <v>61</v>
      </c>
      <c r="E1860" s="15" t="n">
        <v>256946</v>
      </c>
      <c r="F1860" s="15" t="n">
        <v>122472.7</v>
      </c>
      <c r="G1860" s="16" t="n">
        <f aca="false">ROUND(E1860+F1860,2)</f>
        <v>379418.7</v>
      </c>
    </row>
    <row r="1861" customFormat="false" ht="15" hidden="false" customHeight="false" outlineLevel="0" collapsed="false">
      <c r="A1861" s="14" t="s">
        <v>20</v>
      </c>
      <c r="B1861" s="14" t="n">
        <v>2024</v>
      </c>
      <c r="C1861" s="14" t="n">
        <v>1</v>
      </c>
      <c r="D1861" s="14" t="s">
        <v>50</v>
      </c>
      <c r="E1861" s="15" t="n">
        <v>339968.61</v>
      </c>
      <c r="F1861" s="15" t="n">
        <v>195234.55</v>
      </c>
      <c r="G1861" s="16" t="n">
        <f aca="false">ROUND(E1861+F1861,2)</f>
        <v>535203.16</v>
      </c>
    </row>
    <row r="1862" customFormat="false" ht="15" hidden="false" customHeight="false" outlineLevel="0" collapsed="false">
      <c r="A1862" s="14" t="s">
        <v>20</v>
      </c>
      <c r="B1862" s="14" t="n">
        <v>2024</v>
      </c>
      <c r="C1862" s="14" t="n">
        <v>2</v>
      </c>
      <c r="D1862" s="14" t="s">
        <v>51</v>
      </c>
      <c r="E1862" s="15" t="n">
        <v>294272.71</v>
      </c>
      <c r="F1862" s="15" t="n">
        <v>148278.39</v>
      </c>
      <c r="G1862" s="16" t="n">
        <f aca="false">ROUND(E1862+F1862,2)</f>
        <v>442551.1</v>
      </c>
    </row>
    <row r="1863" customFormat="false" ht="15" hidden="false" customHeight="false" outlineLevel="0" collapsed="false">
      <c r="A1863" s="14" t="s">
        <v>20</v>
      </c>
      <c r="B1863" s="14" t="n">
        <v>2024</v>
      </c>
      <c r="C1863" s="14" t="n">
        <v>3</v>
      </c>
      <c r="D1863" s="14" t="s">
        <v>52</v>
      </c>
      <c r="E1863" s="15" t="n">
        <v>320752.38</v>
      </c>
      <c r="F1863" s="15" t="n">
        <v>149578.54</v>
      </c>
      <c r="G1863" s="16" t="n">
        <f aca="false">ROUND(E1863+F1863,2)</f>
        <v>470330.92</v>
      </c>
    </row>
    <row r="1864" customFormat="false" ht="15" hidden="false" customHeight="false" outlineLevel="0" collapsed="false">
      <c r="A1864" s="14" t="s">
        <v>20</v>
      </c>
      <c r="B1864" s="14" t="n">
        <v>2024</v>
      </c>
      <c r="C1864" s="14" t="n">
        <v>4</v>
      </c>
      <c r="D1864" s="14" t="s">
        <v>53</v>
      </c>
      <c r="E1864" s="15" t="n">
        <v>335429.83</v>
      </c>
      <c r="F1864" s="15" t="n">
        <v>196165.53</v>
      </c>
      <c r="G1864" s="16" t="n">
        <f aca="false">ROUND(E1864+F1864,2)</f>
        <v>531595.36</v>
      </c>
    </row>
    <row r="1865" customFormat="false" ht="15" hidden="false" customHeight="false" outlineLevel="0" collapsed="false">
      <c r="A1865" s="14" t="s">
        <v>20</v>
      </c>
      <c r="B1865" s="14" t="n">
        <v>2024</v>
      </c>
      <c r="C1865" s="14" t="n">
        <v>5</v>
      </c>
      <c r="D1865" s="14" t="s">
        <v>54</v>
      </c>
      <c r="E1865" s="15" t="n">
        <v>304299.62</v>
      </c>
      <c r="F1865" s="15" t="n">
        <v>134769.62</v>
      </c>
      <c r="G1865" s="16" t="n">
        <f aca="false">ROUND(E1865+F1865,2)</f>
        <v>439069.24</v>
      </c>
    </row>
    <row r="1866" customFormat="false" ht="15" hidden="false" customHeight="false" outlineLevel="0" collapsed="false">
      <c r="A1866" s="14" t="s">
        <v>20</v>
      </c>
      <c r="B1866" s="14" t="n">
        <v>2024</v>
      </c>
      <c r="C1866" s="14" t="n">
        <v>6</v>
      </c>
      <c r="D1866" s="14" t="s">
        <v>55</v>
      </c>
      <c r="E1866" s="15" t="n">
        <v>170743.47</v>
      </c>
      <c r="F1866" s="15" t="n">
        <v>75744.31</v>
      </c>
      <c r="G1866" s="16" t="n">
        <f aca="false">ROUND(E1866+F1866,2)</f>
        <v>246487.78</v>
      </c>
    </row>
    <row r="1867" customFormat="false" ht="15" hidden="false" customHeight="false" outlineLevel="0" collapsed="false">
      <c r="A1867" s="14" t="s">
        <v>20</v>
      </c>
      <c r="B1867" s="14" t="n">
        <v>2024</v>
      </c>
      <c r="C1867" s="14" t="n">
        <v>7</v>
      </c>
      <c r="D1867" s="14" t="s">
        <v>56</v>
      </c>
      <c r="E1867" s="15" t="n">
        <v>311777.23</v>
      </c>
      <c r="F1867" s="15" t="n">
        <v>154608.27</v>
      </c>
      <c r="G1867" s="16" t="n">
        <f aca="false">ROUND(E1867+F1867,2)</f>
        <v>466385.5</v>
      </c>
    </row>
    <row r="1868" customFormat="false" ht="15" hidden="false" customHeight="false" outlineLevel="0" collapsed="false">
      <c r="A1868" s="14" t="s">
        <v>20</v>
      </c>
      <c r="B1868" s="14" t="n">
        <v>2024</v>
      </c>
      <c r="C1868" s="14" t="n">
        <v>8</v>
      </c>
      <c r="D1868" s="14" t="s">
        <v>57</v>
      </c>
      <c r="E1868" s="15" t="n">
        <v>345270.9</v>
      </c>
      <c r="F1868" s="15" t="n">
        <v>172423.34</v>
      </c>
      <c r="G1868" s="16" t="n">
        <f aca="false">ROUND(E1868+F1868,2)</f>
        <v>517694.24</v>
      </c>
    </row>
    <row r="1869" customFormat="false" ht="15" hidden="false" customHeight="false" outlineLevel="0" collapsed="false">
      <c r="A1869" s="14" t="s">
        <v>20</v>
      </c>
      <c r="B1869" s="14" t="n">
        <v>2024</v>
      </c>
      <c r="C1869" s="14" t="n">
        <v>9</v>
      </c>
      <c r="D1869" s="14" t="s">
        <v>58</v>
      </c>
      <c r="E1869" s="15" t="n">
        <v>298395.49</v>
      </c>
      <c r="F1869" s="15" t="n">
        <v>135934.51</v>
      </c>
      <c r="G1869" s="16" t="n">
        <f aca="false">ROUND(E1869+F1869,2)</f>
        <v>434330</v>
      </c>
    </row>
    <row r="1870" customFormat="false" ht="15" hidden="false" customHeight="false" outlineLevel="0" collapsed="false">
      <c r="A1870" s="14" t="s">
        <v>20</v>
      </c>
      <c r="B1870" s="14" t="n">
        <v>2024</v>
      </c>
      <c r="C1870" s="14" t="n">
        <v>10</v>
      </c>
      <c r="D1870" s="14" t="s">
        <v>59</v>
      </c>
      <c r="E1870" s="15" t="n">
        <v>275743.79</v>
      </c>
      <c r="F1870" s="15" t="n">
        <v>160002.21</v>
      </c>
      <c r="G1870" s="16" t="n">
        <f aca="false">ROUND(E1870+F1870,2)</f>
        <v>435746</v>
      </c>
    </row>
    <row r="1871" customFormat="false" ht="15" hidden="false" customHeight="false" outlineLevel="0" collapsed="false">
      <c r="A1871" s="14" t="s">
        <v>20</v>
      </c>
      <c r="B1871" s="14" t="n">
        <v>2024</v>
      </c>
      <c r="C1871" s="14" t="n">
        <v>11</v>
      </c>
      <c r="D1871" s="14" t="s">
        <v>60</v>
      </c>
      <c r="E1871" s="15" t="n">
        <v>302190.17</v>
      </c>
      <c r="F1871" s="15" t="n">
        <v>160150.19</v>
      </c>
      <c r="G1871" s="16" t="n">
        <f aca="false">ROUND(E1871+F1871,2)</f>
        <v>462340.36</v>
      </c>
    </row>
    <row r="1872" customFormat="false" ht="15" hidden="false" customHeight="false" outlineLevel="0" collapsed="false">
      <c r="A1872" s="14" t="s">
        <v>20</v>
      </c>
      <c r="B1872" s="14" t="n">
        <v>2024</v>
      </c>
      <c r="C1872" s="14" t="n">
        <v>12</v>
      </c>
      <c r="D1872" s="14" t="s">
        <v>61</v>
      </c>
      <c r="E1872" s="15" t="n">
        <v>302325.55</v>
      </c>
      <c r="F1872" s="15" t="n">
        <v>135335.25</v>
      </c>
      <c r="G1872" s="16" t="n">
        <f aca="false">ROUND(E1872+F1872,2)</f>
        <v>437660.8</v>
      </c>
    </row>
    <row r="1873" customFormat="false" ht="15" hidden="false" customHeight="false" outlineLevel="0" collapsed="false">
      <c r="A1873" s="14" t="s">
        <v>20</v>
      </c>
      <c r="B1873" s="14" t="n">
        <v>2025</v>
      </c>
      <c r="C1873" s="14" t="n">
        <v>1</v>
      </c>
      <c r="D1873" s="14" t="s">
        <v>50</v>
      </c>
      <c r="E1873" s="15" t="n">
        <v>327013.44</v>
      </c>
      <c r="F1873" s="15" t="n">
        <v>189836.33</v>
      </c>
      <c r="G1873" s="16" t="n">
        <f aca="false">ROUND(E1873+F1873,2)</f>
        <v>516849.77</v>
      </c>
    </row>
    <row r="1874" customFormat="false" ht="15" hidden="false" customHeight="false" outlineLevel="0" collapsed="false">
      <c r="A1874" s="14" t="s">
        <v>20</v>
      </c>
      <c r="B1874" s="14" t="n">
        <v>2025</v>
      </c>
      <c r="C1874" s="14" t="n">
        <v>2</v>
      </c>
      <c r="D1874" s="14" t="s">
        <v>51</v>
      </c>
      <c r="E1874" s="15" t="n">
        <v>293779.76</v>
      </c>
      <c r="F1874" s="15" t="n">
        <v>148612.94</v>
      </c>
      <c r="G1874" s="16" t="n">
        <f aca="false">ROUND(E1874+F1874,2)</f>
        <v>442392.7</v>
      </c>
    </row>
    <row r="1875" customFormat="false" ht="15" hidden="false" customHeight="false" outlineLevel="0" collapsed="false">
      <c r="A1875" s="14" t="s">
        <v>20</v>
      </c>
      <c r="B1875" s="14" t="n">
        <v>2025</v>
      </c>
      <c r="C1875" s="14" t="n">
        <v>3</v>
      </c>
      <c r="D1875" s="14" t="s">
        <v>52</v>
      </c>
      <c r="E1875" s="15" t="n">
        <v>302078.84</v>
      </c>
      <c r="F1875" s="15" t="n">
        <v>162125.09</v>
      </c>
      <c r="G1875" s="16" t="n">
        <f aca="false">ROUND(E1875+F1875,2)</f>
        <v>464203.93</v>
      </c>
    </row>
    <row r="1876" customFormat="false" ht="15" hidden="false" customHeight="false" outlineLevel="0" collapsed="false">
      <c r="A1876" s="14" t="s">
        <v>20</v>
      </c>
      <c r="B1876" s="14" t="n">
        <v>2025</v>
      </c>
      <c r="C1876" s="14" t="n">
        <v>4</v>
      </c>
      <c r="D1876" s="14" t="s">
        <v>53</v>
      </c>
      <c r="E1876" s="15" t="n">
        <v>349051.56</v>
      </c>
      <c r="F1876" s="15" t="n">
        <v>203448.53</v>
      </c>
      <c r="G1876" s="16" t="n">
        <f aca="false">ROUND(E1876+F1876,2)</f>
        <v>552500.09</v>
      </c>
    </row>
    <row r="1877" customFormat="false" ht="15" hidden="false" customHeight="false" outlineLevel="0" collapsed="false">
      <c r="A1877" s="14" t="s">
        <v>20</v>
      </c>
      <c r="B1877" s="14" t="n">
        <v>2025</v>
      </c>
      <c r="C1877" s="14" t="n">
        <v>5</v>
      </c>
      <c r="D1877" s="14" t="s">
        <v>54</v>
      </c>
      <c r="E1877" s="15" t="n">
        <v>333755.03</v>
      </c>
      <c r="F1877" s="15" t="n">
        <v>160562.34</v>
      </c>
      <c r="G1877" s="16" t="n">
        <f aca="false">ROUND(E1877+F1877,2)</f>
        <v>494317.37</v>
      </c>
    </row>
    <row r="1878" customFormat="false" ht="15" hidden="false" customHeight="false" outlineLevel="0" collapsed="false">
      <c r="A1878" s="14" t="s">
        <v>20</v>
      </c>
      <c r="B1878" s="14" t="n">
        <v>2025</v>
      </c>
      <c r="C1878" s="14" t="n">
        <v>6</v>
      </c>
      <c r="D1878" s="14" t="s">
        <v>55</v>
      </c>
      <c r="E1878" s="15" t="n">
        <v>355036.92</v>
      </c>
      <c r="F1878" s="15" t="n">
        <v>185438.48</v>
      </c>
      <c r="G1878" s="16" t="n">
        <f aca="false">ROUND(E1878+F1878,2)</f>
        <v>540475.4</v>
      </c>
    </row>
    <row r="1879" customFormat="false" ht="15" hidden="false" customHeight="false" outlineLevel="0" collapsed="false">
      <c r="A1879" s="14" t="s">
        <v>20</v>
      </c>
      <c r="B1879" s="14" t="n">
        <v>2025</v>
      </c>
      <c r="C1879" s="14" t="n">
        <v>7</v>
      </c>
      <c r="D1879" s="14" t="s">
        <v>56</v>
      </c>
      <c r="E1879" s="15" t="n">
        <v>346479.07</v>
      </c>
      <c r="F1879" s="15" t="n">
        <v>153156.4</v>
      </c>
      <c r="G1879" s="16" t="n">
        <f aca="false">ROUND(E1879+F1879,2)</f>
        <v>499635.47</v>
      </c>
    </row>
    <row r="1880" customFormat="false" ht="15" hidden="false" customHeight="false" outlineLevel="0" collapsed="false">
      <c r="A1880" s="14" t="s">
        <v>20</v>
      </c>
      <c r="B1880" s="14" t="n">
        <v>2025</v>
      </c>
      <c r="C1880" s="14" t="n">
        <v>8</v>
      </c>
      <c r="D1880" s="14" t="s">
        <v>57</v>
      </c>
      <c r="E1880" s="15" t="n">
        <v>360176.95</v>
      </c>
      <c r="F1880" s="15" t="n">
        <v>142003.39</v>
      </c>
      <c r="G1880" s="16" t="n">
        <f aca="false">ROUND(E1880+F1880,2)</f>
        <v>502180.34</v>
      </c>
    </row>
    <row r="1881" customFormat="false" ht="15" hidden="false" customHeight="false" outlineLevel="0" collapsed="false">
      <c r="A1881" s="14" t="s">
        <v>20</v>
      </c>
      <c r="B1881" s="14" t="n">
        <v>2025</v>
      </c>
      <c r="C1881" s="14" t="n">
        <v>9</v>
      </c>
      <c r="D1881" s="14" t="s">
        <v>58</v>
      </c>
      <c r="E1881" s="15" t="n">
        <v>345809.44</v>
      </c>
      <c r="F1881" s="15" t="n">
        <v>136003.83</v>
      </c>
      <c r="G1881" s="16" t="n">
        <f aca="false">ROUND(E1881+F1881,2)</f>
        <v>481813.27</v>
      </c>
    </row>
    <row r="1882" customFormat="false" ht="15" hidden="false" customHeight="false" outlineLevel="0" collapsed="false">
      <c r="A1882" s="14" t="s">
        <v>20</v>
      </c>
      <c r="B1882" s="14" t="n">
        <v>2025</v>
      </c>
      <c r="C1882" s="14" t="n">
        <v>10</v>
      </c>
      <c r="D1882" s="14" t="s">
        <v>59</v>
      </c>
      <c r="E1882" s="15" t="n">
        <v>358880.01</v>
      </c>
      <c r="F1882" s="15" t="n">
        <v>162487.71</v>
      </c>
      <c r="G1882" s="16" t="n">
        <f aca="false">ROUND(E1882+F1882,2)</f>
        <v>521367.72</v>
      </c>
    </row>
    <row r="1883" customFormat="false" ht="15" hidden="false" customHeight="false" outlineLevel="0" collapsed="false">
      <c r="A1883" s="14" t="s">
        <v>20</v>
      </c>
      <c r="B1883" s="14" t="n">
        <v>2025</v>
      </c>
      <c r="C1883" s="14" t="n">
        <v>11</v>
      </c>
      <c r="D1883" s="14" t="s">
        <v>60</v>
      </c>
      <c r="E1883" s="15" t="n">
        <v>298776.02</v>
      </c>
      <c r="F1883" s="15" t="n">
        <v>136569.87</v>
      </c>
      <c r="G1883" s="16" t="n">
        <f aca="false">ROUND(E1883+F1883,2)</f>
        <v>435345.89</v>
      </c>
    </row>
    <row r="1884" customFormat="false" ht="15" hidden="false" customHeight="false" outlineLevel="0" collapsed="false">
      <c r="A1884" s="14" t="s">
        <v>20</v>
      </c>
      <c r="B1884" s="14" t="n">
        <v>2025</v>
      </c>
      <c r="C1884" s="14" t="n">
        <v>12</v>
      </c>
      <c r="D1884" s="14" t="s">
        <v>61</v>
      </c>
      <c r="E1884" s="15" t="n">
        <v>376578.19</v>
      </c>
      <c r="F1884" s="15" t="n">
        <v>153699</v>
      </c>
      <c r="G1884" s="16" t="n">
        <f aca="false">ROUND(E1884+F1884,2)</f>
        <v>530277.19</v>
      </c>
    </row>
    <row r="1885" customFormat="false" ht="15" hidden="false" customHeight="false" outlineLevel="0" collapsed="false">
      <c r="A1885" s="14" t="s">
        <v>20</v>
      </c>
      <c r="B1885" s="14" t="n">
        <v>2026</v>
      </c>
      <c r="C1885" s="14" t="n">
        <v>1</v>
      </c>
      <c r="D1885" s="14" t="s">
        <v>50</v>
      </c>
      <c r="E1885" s="15" t="n">
        <v>355402.02</v>
      </c>
      <c r="F1885" s="15" t="n">
        <v>137041.24</v>
      </c>
      <c r="G1885" s="16" t="n">
        <f aca="false">ROUND(E1885+F1885,2)</f>
        <v>492443.26</v>
      </c>
    </row>
    <row r="1886" customFormat="false" ht="15" hidden="false" customHeight="false" outlineLevel="0" collapsed="false">
      <c r="A1886" s="14" t="s">
        <v>20</v>
      </c>
      <c r="B1886" s="14" t="n">
        <v>2026</v>
      </c>
      <c r="C1886" s="14" t="n">
        <v>2</v>
      </c>
      <c r="D1886" s="14" t="s">
        <v>51</v>
      </c>
      <c r="E1886" s="15" t="n">
        <v>376148.84</v>
      </c>
      <c r="F1886" s="15" t="n">
        <v>150442.07</v>
      </c>
      <c r="G1886" s="16" t="n">
        <f aca="false">ROUND(E1886+F1886,2)</f>
        <v>526590.91</v>
      </c>
    </row>
    <row r="1887" customFormat="false" ht="15" hidden="false" customHeight="false" outlineLevel="0" collapsed="false">
      <c r="A1887" s="14" t="s">
        <v>20</v>
      </c>
      <c r="B1887" s="14" t="n">
        <v>2026</v>
      </c>
      <c r="C1887" s="14" t="n">
        <v>3</v>
      </c>
      <c r="D1887" s="14" t="s">
        <v>52</v>
      </c>
      <c r="E1887" s="15" t="n">
        <v>397129.01</v>
      </c>
      <c r="F1887" s="15" t="n">
        <v>142236</v>
      </c>
      <c r="G1887" s="16" t="n">
        <f aca="false">ROUND(E1887+F1887,2)</f>
        <v>539365.01</v>
      </c>
    </row>
    <row r="1888" customFormat="false" ht="15" hidden="false" customHeight="false" outlineLevel="0" collapsed="false">
      <c r="A1888" s="14" t="s">
        <v>20</v>
      </c>
      <c r="B1888" s="14" t="n">
        <v>2026</v>
      </c>
      <c r="C1888" s="14" t="n">
        <v>4</v>
      </c>
      <c r="D1888" s="14" t="s">
        <v>53</v>
      </c>
      <c r="E1888" s="15" t="n">
        <v>463124.14</v>
      </c>
      <c r="F1888" s="15" t="n">
        <v>203733.95</v>
      </c>
      <c r="G1888" s="16" t="n">
        <f aca="false">ROUND(E1888+F1888,2)</f>
        <v>666858.09</v>
      </c>
    </row>
    <row r="1889" customFormat="false" ht="15" hidden="false" customHeight="false" outlineLevel="0" collapsed="false">
      <c r="A1889" s="14" t="s">
        <v>20</v>
      </c>
      <c r="B1889" s="14" t="n">
        <v>2026</v>
      </c>
      <c r="C1889" s="14" t="n">
        <v>5</v>
      </c>
      <c r="D1889" s="14" t="s">
        <v>54</v>
      </c>
      <c r="E1889" s="15" t="n">
        <v>405826.33</v>
      </c>
      <c r="F1889" s="15" t="n">
        <v>146853.1</v>
      </c>
      <c r="G1889" s="16" t="n">
        <f aca="false">ROUND(E1889+F1889,2)</f>
        <v>552679.43</v>
      </c>
    </row>
    <row r="1890" customFormat="false" ht="15" hidden="false" customHeight="false" outlineLevel="0" collapsed="false">
      <c r="A1890" s="14" t="s">
        <v>20</v>
      </c>
      <c r="B1890" s="14" t="n">
        <v>2026</v>
      </c>
      <c r="C1890" s="14" t="n">
        <v>6</v>
      </c>
      <c r="D1890" s="14" t="s">
        <v>55</v>
      </c>
      <c r="E1890" s="15" t="n">
        <v>413300.11</v>
      </c>
      <c r="F1890" s="15" t="n">
        <v>152107.95</v>
      </c>
      <c r="G1890" s="16" t="n">
        <f aca="false">ROUND(E1890+F1890,2)</f>
        <v>565408.06</v>
      </c>
    </row>
    <row r="1891" customFormat="false" ht="15" hidden="false" customHeight="false" outlineLevel="0" collapsed="false">
      <c r="A1891" s="14" t="s">
        <v>20</v>
      </c>
      <c r="B1891" s="14" t="n">
        <v>2026</v>
      </c>
      <c r="C1891" s="14" t="n">
        <v>7</v>
      </c>
      <c r="D1891" s="14" t="s">
        <v>56</v>
      </c>
      <c r="E1891" s="15" t="n">
        <v>425693.34</v>
      </c>
      <c r="F1891" s="15" t="n">
        <v>165576.85</v>
      </c>
      <c r="G1891" s="16" t="n">
        <f aca="false">ROUND(E1891+F1891,2)</f>
        <v>591270.19</v>
      </c>
    </row>
    <row r="1892" customFormat="false" ht="15" hidden="false" customHeight="false" outlineLevel="0" collapsed="false">
      <c r="A1892" s="14" t="s">
        <v>18</v>
      </c>
      <c r="B1892" s="14" t="n">
        <v>2021</v>
      </c>
      <c r="C1892" s="14" t="n">
        <v>1</v>
      </c>
      <c r="D1892" s="14" t="s">
        <v>50</v>
      </c>
      <c r="E1892" s="15" t="n">
        <v>232499.03</v>
      </c>
      <c r="F1892" s="15" t="n">
        <v>176307</v>
      </c>
      <c r="G1892" s="16" t="n">
        <f aca="false">ROUND(E1892+F1892,2)</f>
        <v>408806.03</v>
      </c>
    </row>
    <row r="1893" customFormat="false" ht="15" hidden="false" customHeight="false" outlineLevel="0" collapsed="false">
      <c r="A1893" s="14" t="s">
        <v>18</v>
      </c>
      <c r="B1893" s="14" t="n">
        <v>2021</v>
      </c>
      <c r="C1893" s="14" t="n">
        <v>2</v>
      </c>
      <c r="D1893" s="14" t="s">
        <v>51</v>
      </c>
      <c r="E1893" s="15" t="n">
        <v>246426.63</v>
      </c>
      <c r="F1893" s="15" t="n">
        <v>170750.14</v>
      </c>
      <c r="G1893" s="16" t="n">
        <f aca="false">ROUND(E1893+F1893,2)</f>
        <v>417176.77</v>
      </c>
    </row>
    <row r="1894" customFormat="false" ht="15" hidden="false" customHeight="false" outlineLevel="0" collapsed="false">
      <c r="A1894" s="14" t="s">
        <v>18</v>
      </c>
      <c r="B1894" s="14" t="n">
        <v>2021</v>
      </c>
      <c r="C1894" s="14" t="n">
        <v>3</v>
      </c>
      <c r="D1894" s="14" t="s">
        <v>52</v>
      </c>
      <c r="E1894" s="15" t="n">
        <v>290854.16</v>
      </c>
      <c r="F1894" s="15" t="n">
        <v>204928.03</v>
      </c>
      <c r="G1894" s="16" t="n">
        <f aca="false">ROUND(E1894+F1894,2)</f>
        <v>495782.19</v>
      </c>
    </row>
    <row r="1895" customFormat="false" ht="15" hidden="false" customHeight="false" outlineLevel="0" collapsed="false">
      <c r="A1895" s="14" t="s">
        <v>18</v>
      </c>
      <c r="B1895" s="14" t="n">
        <v>2021</v>
      </c>
      <c r="C1895" s="14" t="n">
        <v>4</v>
      </c>
      <c r="D1895" s="14" t="s">
        <v>53</v>
      </c>
      <c r="E1895" s="15" t="n">
        <v>298102.05</v>
      </c>
      <c r="F1895" s="15" t="n">
        <v>194742.06</v>
      </c>
      <c r="G1895" s="16" t="n">
        <f aca="false">ROUND(E1895+F1895,2)</f>
        <v>492844.11</v>
      </c>
    </row>
    <row r="1896" customFormat="false" ht="15" hidden="false" customHeight="false" outlineLevel="0" collapsed="false">
      <c r="A1896" s="14" t="s">
        <v>18</v>
      </c>
      <c r="B1896" s="14" t="n">
        <v>2021</v>
      </c>
      <c r="C1896" s="14" t="n">
        <v>5</v>
      </c>
      <c r="D1896" s="14" t="s">
        <v>54</v>
      </c>
      <c r="E1896" s="15" t="n">
        <v>278644.08</v>
      </c>
      <c r="F1896" s="15" t="n">
        <v>188089.52</v>
      </c>
      <c r="G1896" s="16" t="n">
        <f aca="false">ROUND(E1896+F1896,2)</f>
        <v>466733.6</v>
      </c>
    </row>
    <row r="1897" customFormat="false" ht="15" hidden="false" customHeight="false" outlineLevel="0" collapsed="false">
      <c r="A1897" s="14" t="s">
        <v>18</v>
      </c>
      <c r="B1897" s="14" t="n">
        <v>2021</v>
      </c>
      <c r="C1897" s="14" t="n">
        <v>6</v>
      </c>
      <c r="D1897" s="14" t="s">
        <v>55</v>
      </c>
      <c r="E1897" s="15" t="n">
        <v>318831.11</v>
      </c>
      <c r="F1897" s="15" t="n">
        <v>211728.58</v>
      </c>
      <c r="G1897" s="16" t="n">
        <f aca="false">ROUND(E1897+F1897,2)</f>
        <v>530559.69</v>
      </c>
    </row>
    <row r="1898" customFormat="false" ht="15" hidden="false" customHeight="false" outlineLevel="0" collapsed="false">
      <c r="A1898" s="14" t="s">
        <v>18</v>
      </c>
      <c r="B1898" s="14" t="n">
        <v>2021</v>
      </c>
      <c r="C1898" s="14" t="n">
        <v>7</v>
      </c>
      <c r="D1898" s="14" t="s">
        <v>56</v>
      </c>
      <c r="E1898" s="15" t="n">
        <v>305372.85</v>
      </c>
      <c r="F1898" s="15" t="n">
        <v>235258.16</v>
      </c>
      <c r="G1898" s="16" t="n">
        <f aca="false">ROUND(E1898+F1898,2)</f>
        <v>540631.01</v>
      </c>
    </row>
    <row r="1899" customFormat="false" ht="15" hidden="false" customHeight="false" outlineLevel="0" collapsed="false">
      <c r="A1899" s="14" t="s">
        <v>18</v>
      </c>
      <c r="B1899" s="14" t="n">
        <v>2021</v>
      </c>
      <c r="C1899" s="14" t="n">
        <v>8</v>
      </c>
      <c r="D1899" s="14" t="s">
        <v>57</v>
      </c>
      <c r="E1899" s="15" t="n">
        <v>283388.77</v>
      </c>
      <c r="F1899" s="15" t="n">
        <v>222395.77</v>
      </c>
      <c r="G1899" s="16" t="n">
        <f aca="false">ROUND(E1899+F1899,2)</f>
        <v>505784.54</v>
      </c>
    </row>
    <row r="1900" customFormat="false" ht="15" hidden="false" customHeight="false" outlineLevel="0" collapsed="false">
      <c r="A1900" s="14" t="s">
        <v>18</v>
      </c>
      <c r="B1900" s="14" t="n">
        <v>2021</v>
      </c>
      <c r="C1900" s="14" t="n">
        <v>9</v>
      </c>
      <c r="D1900" s="14" t="s">
        <v>58</v>
      </c>
      <c r="E1900" s="15" t="n">
        <v>284226.96</v>
      </c>
      <c r="F1900" s="15" t="n">
        <v>197954.46</v>
      </c>
      <c r="G1900" s="16" t="n">
        <f aca="false">ROUND(E1900+F1900,2)</f>
        <v>482181.42</v>
      </c>
    </row>
    <row r="1901" customFormat="false" ht="15" hidden="false" customHeight="false" outlineLevel="0" collapsed="false">
      <c r="A1901" s="14" t="s">
        <v>18</v>
      </c>
      <c r="B1901" s="14" t="n">
        <v>2021</v>
      </c>
      <c r="C1901" s="14" t="n">
        <v>10</v>
      </c>
      <c r="D1901" s="14" t="s">
        <v>59</v>
      </c>
      <c r="E1901" s="15" t="n">
        <v>291862.39</v>
      </c>
      <c r="F1901" s="15" t="n">
        <v>220366.98</v>
      </c>
      <c r="G1901" s="16" t="n">
        <f aca="false">ROUND(E1901+F1901,2)</f>
        <v>512229.37</v>
      </c>
    </row>
    <row r="1902" customFormat="false" ht="15" hidden="false" customHeight="false" outlineLevel="0" collapsed="false">
      <c r="A1902" s="14" t="s">
        <v>18</v>
      </c>
      <c r="B1902" s="14" t="n">
        <v>2021</v>
      </c>
      <c r="C1902" s="14" t="n">
        <v>11</v>
      </c>
      <c r="D1902" s="14" t="s">
        <v>60</v>
      </c>
      <c r="E1902" s="15" t="n">
        <v>263077.93</v>
      </c>
      <c r="F1902" s="15" t="n">
        <v>198346.32</v>
      </c>
      <c r="G1902" s="16" t="n">
        <f aca="false">ROUND(E1902+F1902,2)</f>
        <v>461424.25</v>
      </c>
    </row>
    <row r="1903" customFormat="false" ht="15" hidden="false" customHeight="false" outlineLevel="0" collapsed="false">
      <c r="A1903" s="14" t="s">
        <v>18</v>
      </c>
      <c r="B1903" s="14" t="n">
        <v>2021</v>
      </c>
      <c r="C1903" s="14" t="n">
        <v>12</v>
      </c>
      <c r="D1903" s="14" t="s">
        <v>61</v>
      </c>
      <c r="E1903" s="15" t="n">
        <v>269486.24</v>
      </c>
      <c r="F1903" s="15" t="n">
        <v>198403.6</v>
      </c>
      <c r="G1903" s="16" t="n">
        <f aca="false">ROUND(E1903+F1903,2)</f>
        <v>467889.84</v>
      </c>
    </row>
    <row r="1904" customFormat="false" ht="15" hidden="false" customHeight="false" outlineLevel="0" collapsed="false">
      <c r="A1904" s="14" t="s">
        <v>18</v>
      </c>
      <c r="B1904" s="14" t="n">
        <v>2022</v>
      </c>
      <c r="C1904" s="14" t="n">
        <v>1</v>
      </c>
      <c r="D1904" s="14" t="s">
        <v>50</v>
      </c>
      <c r="E1904" s="15" t="n">
        <v>251741.86</v>
      </c>
      <c r="F1904" s="15" t="n">
        <v>219186.47</v>
      </c>
      <c r="G1904" s="16" t="n">
        <f aca="false">ROUND(E1904+F1904,2)</f>
        <v>470928.33</v>
      </c>
    </row>
    <row r="1905" customFormat="false" ht="15" hidden="false" customHeight="false" outlineLevel="0" collapsed="false">
      <c r="A1905" s="14" t="s">
        <v>18</v>
      </c>
      <c r="B1905" s="14" t="n">
        <v>2022</v>
      </c>
      <c r="C1905" s="14" t="n">
        <v>2</v>
      </c>
      <c r="D1905" s="14" t="s">
        <v>51</v>
      </c>
      <c r="E1905" s="15" t="n">
        <v>271840.43</v>
      </c>
      <c r="F1905" s="15" t="n">
        <v>189017.49</v>
      </c>
      <c r="G1905" s="16" t="n">
        <f aca="false">ROUND(E1905+F1905,2)</f>
        <v>460857.92</v>
      </c>
    </row>
    <row r="1906" customFormat="false" ht="15" hidden="false" customHeight="false" outlineLevel="0" collapsed="false">
      <c r="A1906" s="14" t="s">
        <v>18</v>
      </c>
      <c r="B1906" s="14" t="n">
        <v>2022</v>
      </c>
      <c r="C1906" s="14" t="n">
        <v>3</v>
      </c>
      <c r="D1906" s="14" t="s">
        <v>52</v>
      </c>
      <c r="E1906" s="15" t="n">
        <v>323719.92</v>
      </c>
      <c r="F1906" s="15" t="n">
        <v>251177.86</v>
      </c>
      <c r="G1906" s="16" t="n">
        <f aca="false">ROUND(E1906+F1906,2)</f>
        <v>574897.78</v>
      </c>
    </row>
    <row r="1907" customFormat="false" ht="15" hidden="false" customHeight="false" outlineLevel="0" collapsed="false">
      <c r="A1907" s="14" t="s">
        <v>18</v>
      </c>
      <c r="B1907" s="14" t="n">
        <v>2022</v>
      </c>
      <c r="C1907" s="14" t="n">
        <v>4</v>
      </c>
      <c r="D1907" s="14" t="s">
        <v>53</v>
      </c>
      <c r="E1907" s="15" t="n">
        <v>272324.24</v>
      </c>
      <c r="F1907" s="15" t="n">
        <v>198912.75</v>
      </c>
      <c r="G1907" s="16" t="n">
        <f aca="false">ROUND(E1907+F1907,2)</f>
        <v>471236.99</v>
      </c>
    </row>
    <row r="1908" customFormat="false" ht="15" hidden="false" customHeight="false" outlineLevel="0" collapsed="false">
      <c r="A1908" s="14" t="s">
        <v>18</v>
      </c>
      <c r="B1908" s="14" t="n">
        <v>2022</v>
      </c>
      <c r="C1908" s="14" t="n">
        <v>5</v>
      </c>
      <c r="D1908" s="14" t="s">
        <v>54</v>
      </c>
      <c r="E1908" s="15" t="n">
        <v>266224.18</v>
      </c>
      <c r="F1908" s="15" t="n">
        <v>181862.4</v>
      </c>
      <c r="G1908" s="16" t="n">
        <f aca="false">ROUND(E1908+F1908,2)</f>
        <v>448086.58</v>
      </c>
    </row>
    <row r="1909" customFormat="false" ht="15" hidden="false" customHeight="false" outlineLevel="0" collapsed="false">
      <c r="A1909" s="14" t="s">
        <v>18</v>
      </c>
      <c r="B1909" s="14" t="n">
        <v>2022</v>
      </c>
      <c r="C1909" s="14" t="n">
        <v>6</v>
      </c>
      <c r="D1909" s="14" t="s">
        <v>55</v>
      </c>
      <c r="E1909" s="15" t="n">
        <v>275383.84</v>
      </c>
      <c r="F1909" s="15" t="n">
        <v>198008.16</v>
      </c>
      <c r="G1909" s="16" t="n">
        <f aca="false">ROUND(E1909+F1909,2)</f>
        <v>473392</v>
      </c>
    </row>
    <row r="1910" customFormat="false" ht="15" hidden="false" customHeight="false" outlineLevel="0" collapsed="false">
      <c r="A1910" s="14" t="s">
        <v>18</v>
      </c>
      <c r="B1910" s="14" t="n">
        <v>2022</v>
      </c>
      <c r="C1910" s="14" t="n">
        <v>7</v>
      </c>
      <c r="D1910" s="14" t="s">
        <v>56</v>
      </c>
      <c r="E1910" s="15" t="n">
        <v>269911.38</v>
      </c>
      <c r="F1910" s="15" t="n">
        <v>190040.48</v>
      </c>
      <c r="G1910" s="16" t="n">
        <f aca="false">ROUND(E1910+F1910,2)</f>
        <v>459951.86</v>
      </c>
    </row>
    <row r="1911" customFormat="false" ht="15" hidden="false" customHeight="false" outlineLevel="0" collapsed="false">
      <c r="A1911" s="14" t="s">
        <v>18</v>
      </c>
      <c r="B1911" s="14" t="n">
        <v>2022</v>
      </c>
      <c r="C1911" s="14" t="n">
        <v>8</v>
      </c>
      <c r="D1911" s="14" t="s">
        <v>57</v>
      </c>
      <c r="E1911" s="15" t="n">
        <v>300190.02</v>
      </c>
      <c r="F1911" s="15" t="n">
        <v>227488.36</v>
      </c>
      <c r="G1911" s="16" t="n">
        <f aca="false">ROUND(E1911+F1911,2)</f>
        <v>527678.38</v>
      </c>
    </row>
    <row r="1912" customFormat="false" ht="15" hidden="false" customHeight="false" outlineLevel="0" collapsed="false">
      <c r="A1912" s="14" t="s">
        <v>18</v>
      </c>
      <c r="B1912" s="14" t="n">
        <v>2022</v>
      </c>
      <c r="C1912" s="14" t="n">
        <v>9</v>
      </c>
      <c r="D1912" s="14" t="s">
        <v>58</v>
      </c>
      <c r="E1912" s="15" t="n">
        <v>283732.31</v>
      </c>
      <c r="F1912" s="15" t="n">
        <v>202953.13</v>
      </c>
      <c r="G1912" s="16" t="n">
        <f aca="false">ROUND(E1912+F1912,2)</f>
        <v>486685.44</v>
      </c>
    </row>
    <row r="1913" customFormat="false" ht="15" hidden="false" customHeight="false" outlineLevel="0" collapsed="false">
      <c r="A1913" s="14" t="s">
        <v>18</v>
      </c>
      <c r="B1913" s="14" t="n">
        <v>2022</v>
      </c>
      <c r="C1913" s="14" t="n">
        <v>10</v>
      </c>
      <c r="D1913" s="14" t="s">
        <v>59</v>
      </c>
      <c r="E1913" s="15" t="n">
        <v>296784.45</v>
      </c>
      <c r="F1913" s="15" t="n">
        <v>204939.6</v>
      </c>
      <c r="G1913" s="16" t="n">
        <f aca="false">ROUND(E1913+F1913,2)</f>
        <v>501724.05</v>
      </c>
    </row>
    <row r="1914" customFormat="false" ht="15" hidden="false" customHeight="false" outlineLevel="0" collapsed="false">
      <c r="A1914" s="14" t="s">
        <v>18</v>
      </c>
      <c r="B1914" s="14" t="n">
        <v>2022</v>
      </c>
      <c r="C1914" s="14" t="n">
        <v>11</v>
      </c>
      <c r="D1914" s="14" t="s">
        <v>60</v>
      </c>
      <c r="E1914" s="15" t="n">
        <v>282264.13</v>
      </c>
      <c r="F1914" s="15" t="n">
        <v>191296.45</v>
      </c>
      <c r="G1914" s="16" t="n">
        <f aca="false">ROUND(E1914+F1914,2)</f>
        <v>473560.58</v>
      </c>
    </row>
    <row r="1915" customFormat="false" ht="15" hidden="false" customHeight="false" outlineLevel="0" collapsed="false">
      <c r="A1915" s="14" t="s">
        <v>18</v>
      </c>
      <c r="B1915" s="14" t="n">
        <v>2022</v>
      </c>
      <c r="C1915" s="14" t="n">
        <v>12</v>
      </c>
      <c r="D1915" s="14" t="s">
        <v>61</v>
      </c>
      <c r="E1915" s="15" t="n">
        <v>260267.12</v>
      </c>
      <c r="F1915" s="15" t="n">
        <v>206562.65</v>
      </c>
      <c r="G1915" s="16" t="n">
        <f aca="false">ROUND(E1915+F1915,2)</f>
        <v>466829.77</v>
      </c>
    </row>
    <row r="1916" customFormat="false" ht="15" hidden="false" customHeight="false" outlineLevel="0" collapsed="false">
      <c r="A1916" s="14" t="s">
        <v>18</v>
      </c>
      <c r="B1916" s="14" t="n">
        <v>2023</v>
      </c>
      <c r="C1916" s="14" t="n">
        <v>1</v>
      </c>
      <c r="D1916" s="14" t="s">
        <v>50</v>
      </c>
      <c r="E1916" s="15" t="n">
        <v>280287.41</v>
      </c>
      <c r="F1916" s="15" t="n">
        <v>217060.08</v>
      </c>
      <c r="G1916" s="16" t="n">
        <f aca="false">ROUND(E1916+F1916,2)</f>
        <v>497347.49</v>
      </c>
    </row>
    <row r="1917" customFormat="false" ht="15" hidden="false" customHeight="false" outlineLevel="0" collapsed="false">
      <c r="A1917" s="14" t="s">
        <v>18</v>
      </c>
      <c r="B1917" s="14" t="n">
        <v>2023</v>
      </c>
      <c r="C1917" s="14" t="n">
        <v>2</v>
      </c>
      <c r="D1917" s="14" t="s">
        <v>51</v>
      </c>
      <c r="E1917" s="15" t="n">
        <v>262593.88</v>
      </c>
      <c r="F1917" s="15" t="n">
        <v>195289.82</v>
      </c>
      <c r="G1917" s="16" t="n">
        <f aca="false">ROUND(E1917+F1917,2)</f>
        <v>457883.7</v>
      </c>
    </row>
    <row r="1918" customFormat="false" ht="15" hidden="false" customHeight="false" outlineLevel="0" collapsed="false">
      <c r="A1918" s="14" t="s">
        <v>18</v>
      </c>
      <c r="B1918" s="14" t="n">
        <v>2023</v>
      </c>
      <c r="C1918" s="14" t="n">
        <v>3</v>
      </c>
      <c r="D1918" s="14" t="s">
        <v>52</v>
      </c>
      <c r="E1918" s="15" t="n">
        <v>283513.52</v>
      </c>
      <c r="F1918" s="15" t="n">
        <v>229098.23</v>
      </c>
      <c r="G1918" s="16" t="n">
        <f aca="false">ROUND(E1918+F1918,2)</f>
        <v>512611.75</v>
      </c>
    </row>
    <row r="1919" customFormat="false" ht="15" hidden="false" customHeight="false" outlineLevel="0" collapsed="false">
      <c r="A1919" s="14" t="s">
        <v>18</v>
      </c>
      <c r="B1919" s="14" t="n">
        <v>2023</v>
      </c>
      <c r="C1919" s="14" t="n">
        <v>4</v>
      </c>
      <c r="D1919" s="14" t="s">
        <v>53</v>
      </c>
      <c r="E1919" s="15" t="n">
        <v>242786.06</v>
      </c>
      <c r="F1919" s="15" t="n">
        <v>189841.98</v>
      </c>
      <c r="G1919" s="16" t="n">
        <f aca="false">ROUND(E1919+F1919,2)</f>
        <v>432628.04</v>
      </c>
    </row>
    <row r="1920" customFormat="false" ht="15" hidden="false" customHeight="false" outlineLevel="0" collapsed="false">
      <c r="A1920" s="14" t="s">
        <v>18</v>
      </c>
      <c r="B1920" s="14" t="n">
        <v>2023</v>
      </c>
      <c r="C1920" s="14" t="n">
        <v>5</v>
      </c>
      <c r="D1920" s="14" t="s">
        <v>54</v>
      </c>
      <c r="E1920" s="15" t="n">
        <v>276263.26</v>
      </c>
      <c r="F1920" s="15" t="n">
        <v>204250.24</v>
      </c>
      <c r="G1920" s="16" t="n">
        <f aca="false">ROUND(E1920+F1920,2)</f>
        <v>480513.5</v>
      </c>
    </row>
    <row r="1921" customFormat="false" ht="15" hidden="false" customHeight="false" outlineLevel="0" collapsed="false">
      <c r="A1921" s="14" t="s">
        <v>18</v>
      </c>
      <c r="B1921" s="14" t="n">
        <v>2023</v>
      </c>
      <c r="C1921" s="14" t="n">
        <v>6</v>
      </c>
      <c r="D1921" s="14" t="s">
        <v>55</v>
      </c>
      <c r="E1921" s="15" t="n">
        <v>276166.56</v>
      </c>
      <c r="F1921" s="15" t="n">
        <v>197175.59</v>
      </c>
      <c r="G1921" s="16" t="n">
        <f aca="false">ROUND(E1921+F1921,2)</f>
        <v>473342.15</v>
      </c>
    </row>
    <row r="1922" customFormat="false" ht="15" hidden="false" customHeight="false" outlineLevel="0" collapsed="false">
      <c r="A1922" s="14" t="s">
        <v>18</v>
      </c>
      <c r="B1922" s="14" t="n">
        <v>2023</v>
      </c>
      <c r="C1922" s="14" t="n">
        <v>7</v>
      </c>
      <c r="D1922" s="14" t="s">
        <v>56</v>
      </c>
      <c r="E1922" s="15" t="n">
        <v>255649.41</v>
      </c>
      <c r="F1922" s="15" t="n">
        <v>191432.77</v>
      </c>
      <c r="G1922" s="16" t="n">
        <f aca="false">ROUND(E1922+F1922,2)</f>
        <v>447082.18</v>
      </c>
    </row>
    <row r="1923" customFormat="false" ht="15" hidden="false" customHeight="false" outlineLevel="0" collapsed="false">
      <c r="A1923" s="14" t="s">
        <v>18</v>
      </c>
      <c r="B1923" s="14" t="n">
        <v>2023</v>
      </c>
      <c r="C1923" s="14" t="n">
        <v>8</v>
      </c>
      <c r="D1923" s="14" t="s">
        <v>57</v>
      </c>
      <c r="E1923" s="15" t="n">
        <v>326067.65</v>
      </c>
      <c r="F1923" s="15" t="n">
        <v>233025.76</v>
      </c>
      <c r="G1923" s="16" t="n">
        <f aca="false">ROUND(E1923+F1923,2)</f>
        <v>559093.41</v>
      </c>
    </row>
    <row r="1924" customFormat="false" ht="15" hidden="false" customHeight="false" outlineLevel="0" collapsed="false">
      <c r="A1924" s="14" t="s">
        <v>18</v>
      </c>
      <c r="B1924" s="14" t="n">
        <v>2023</v>
      </c>
      <c r="C1924" s="14" t="n">
        <v>9</v>
      </c>
      <c r="D1924" s="14" t="s">
        <v>58</v>
      </c>
      <c r="E1924" s="15" t="n">
        <v>264992.31</v>
      </c>
      <c r="F1924" s="15" t="n">
        <v>243606.17</v>
      </c>
      <c r="G1924" s="16" t="n">
        <f aca="false">ROUND(E1924+F1924,2)</f>
        <v>508598.48</v>
      </c>
    </row>
    <row r="1925" customFormat="false" ht="15" hidden="false" customHeight="false" outlineLevel="0" collapsed="false">
      <c r="A1925" s="14" t="s">
        <v>18</v>
      </c>
      <c r="B1925" s="14" t="n">
        <v>2023</v>
      </c>
      <c r="C1925" s="14" t="n">
        <v>10</v>
      </c>
      <c r="D1925" s="14" t="s">
        <v>59</v>
      </c>
      <c r="E1925" s="15" t="n">
        <v>297340.15</v>
      </c>
      <c r="F1925" s="15" t="n">
        <v>214884.84</v>
      </c>
      <c r="G1925" s="16" t="n">
        <f aca="false">ROUND(E1925+F1925,2)</f>
        <v>512224.99</v>
      </c>
    </row>
    <row r="1926" customFormat="false" ht="15" hidden="false" customHeight="false" outlineLevel="0" collapsed="false">
      <c r="A1926" s="14" t="s">
        <v>18</v>
      </c>
      <c r="B1926" s="14" t="n">
        <v>2023</v>
      </c>
      <c r="C1926" s="14" t="n">
        <v>11</v>
      </c>
      <c r="D1926" s="14" t="s">
        <v>60</v>
      </c>
      <c r="E1926" s="15" t="n">
        <v>301676.05</v>
      </c>
      <c r="F1926" s="15" t="n">
        <v>220856.27</v>
      </c>
      <c r="G1926" s="16" t="n">
        <f aca="false">ROUND(E1926+F1926,2)</f>
        <v>522532.32</v>
      </c>
    </row>
    <row r="1927" customFormat="false" ht="15" hidden="false" customHeight="false" outlineLevel="0" collapsed="false">
      <c r="A1927" s="14" t="s">
        <v>18</v>
      </c>
      <c r="B1927" s="14" t="n">
        <v>2023</v>
      </c>
      <c r="C1927" s="14" t="n">
        <v>12</v>
      </c>
      <c r="D1927" s="14" t="s">
        <v>61</v>
      </c>
      <c r="E1927" s="15" t="n">
        <v>276429.59</v>
      </c>
      <c r="F1927" s="15" t="n">
        <v>226981.39</v>
      </c>
      <c r="G1927" s="16" t="n">
        <f aca="false">ROUND(E1927+F1927,2)</f>
        <v>503410.98</v>
      </c>
    </row>
    <row r="1928" customFormat="false" ht="15" hidden="false" customHeight="false" outlineLevel="0" collapsed="false">
      <c r="A1928" s="14" t="s">
        <v>18</v>
      </c>
      <c r="B1928" s="14" t="n">
        <v>2024</v>
      </c>
      <c r="C1928" s="14" t="n">
        <v>1</v>
      </c>
      <c r="D1928" s="14" t="s">
        <v>50</v>
      </c>
      <c r="E1928" s="15" t="n">
        <v>302787.65</v>
      </c>
      <c r="F1928" s="15" t="n">
        <v>228456.67</v>
      </c>
      <c r="G1928" s="16" t="n">
        <f aca="false">ROUND(E1928+F1928,2)</f>
        <v>531244.32</v>
      </c>
    </row>
    <row r="1929" customFormat="false" ht="15" hidden="false" customHeight="false" outlineLevel="0" collapsed="false">
      <c r="A1929" s="14" t="s">
        <v>18</v>
      </c>
      <c r="B1929" s="14" t="n">
        <v>2024</v>
      </c>
      <c r="C1929" s="14" t="n">
        <v>2</v>
      </c>
      <c r="D1929" s="14" t="s">
        <v>51</v>
      </c>
      <c r="E1929" s="15" t="n">
        <v>288120.99</v>
      </c>
      <c r="F1929" s="15" t="n">
        <v>233481.68</v>
      </c>
      <c r="G1929" s="16" t="n">
        <f aca="false">ROUND(E1929+F1929,2)</f>
        <v>521602.67</v>
      </c>
    </row>
    <row r="1930" customFormat="false" ht="15" hidden="false" customHeight="false" outlineLevel="0" collapsed="false">
      <c r="A1930" s="14" t="s">
        <v>18</v>
      </c>
      <c r="B1930" s="14" t="n">
        <v>2024</v>
      </c>
      <c r="C1930" s="14" t="n">
        <v>3</v>
      </c>
      <c r="D1930" s="14" t="s">
        <v>52</v>
      </c>
      <c r="E1930" s="15" t="n">
        <v>309818.68</v>
      </c>
      <c r="F1930" s="15" t="n">
        <v>221193.82</v>
      </c>
      <c r="G1930" s="16" t="n">
        <f aca="false">ROUND(E1930+F1930,2)</f>
        <v>531012.5</v>
      </c>
    </row>
    <row r="1931" customFormat="false" ht="15" hidden="false" customHeight="false" outlineLevel="0" collapsed="false">
      <c r="A1931" s="14" t="s">
        <v>18</v>
      </c>
      <c r="B1931" s="14" t="n">
        <v>2024</v>
      </c>
      <c r="C1931" s="14" t="n">
        <v>4</v>
      </c>
      <c r="D1931" s="14" t="s">
        <v>53</v>
      </c>
      <c r="E1931" s="15" t="n">
        <v>316941.24</v>
      </c>
      <c r="F1931" s="15" t="n">
        <v>218071.52</v>
      </c>
      <c r="G1931" s="16" t="n">
        <f aca="false">ROUND(E1931+F1931,2)</f>
        <v>535012.76</v>
      </c>
    </row>
    <row r="1932" customFormat="false" ht="15" hidden="false" customHeight="false" outlineLevel="0" collapsed="false">
      <c r="A1932" s="14" t="s">
        <v>18</v>
      </c>
      <c r="B1932" s="14" t="n">
        <v>2024</v>
      </c>
      <c r="C1932" s="14" t="n">
        <v>5</v>
      </c>
      <c r="D1932" s="14" t="s">
        <v>54</v>
      </c>
      <c r="E1932" s="15" t="n">
        <v>331221.79</v>
      </c>
      <c r="F1932" s="15" t="n">
        <v>228737.14</v>
      </c>
      <c r="G1932" s="16" t="n">
        <f aca="false">ROUND(E1932+F1932,2)</f>
        <v>559958.93</v>
      </c>
    </row>
    <row r="1933" customFormat="false" ht="15" hidden="false" customHeight="false" outlineLevel="0" collapsed="false">
      <c r="A1933" s="14" t="s">
        <v>18</v>
      </c>
      <c r="B1933" s="14" t="n">
        <v>2024</v>
      </c>
      <c r="C1933" s="14" t="n">
        <v>6</v>
      </c>
      <c r="D1933" s="14" t="s">
        <v>55</v>
      </c>
      <c r="E1933" s="15" t="n">
        <v>91117.64</v>
      </c>
      <c r="F1933" s="15" t="n">
        <v>68666.92</v>
      </c>
      <c r="G1933" s="16" t="n">
        <f aca="false">ROUND(E1933+F1933,2)</f>
        <v>159784.56</v>
      </c>
    </row>
    <row r="1934" customFormat="false" ht="15" hidden="false" customHeight="false" outlineLevel="0" collapsed="false">
      <c r="A1934" s="14" t="s">
        <v>18</v>
      </c>
      <c r="B1934" s="14" t="n">
        <v>2024</v>
      </c>
      <c r="C1934" s="14" t="n">
        <v>7</v>
      </c>
      <c r="D1934" s="14" t="s">
        <v>56</v>
      </c>
      <c r="E1934" s="15" t="n">
        <v>260833.85</v>
      </c>
      <c r="F1934" s="15" t="n">
        <v>210715.83</v>
      </c>
      <c r="G1934" s="16" t="n">
        <f aca="false">ROUND(E1934+F1934,2)</f>
        <v>471549.68</v>
      </c>
    </row>
    <row r="1935" customFormat="false" ht="15" hidden="false" customHeight="false" outlineLevel="0" collapsed="false">
      <c r="A1935" s="14" t="s">
        <v>18</v>
      </c>
      <c r="B1935" s="14" t="n">
        <v>2024</v>
      </c>
      <c r="C1935" s="14" t="n">
        <v>8</v>
      </c>
      <c r="D1935" s="14" t="s">
        <v>57</v>
      </c>
      <c r="E1935" s="15" t="n">
        <v>324525.3</v>
      </c>
      <c r="F1935" s="15" t="n">
        <v>219212.4</v>
      </c>
      <c r="G1935" s="16" t="n">
        <f aca="false">ROUND(E1935+F1935,2)</f>
        <v>543737.7</v>
      </c>
    </row>
    <row r="1936" customFormat="false" ht="15" hidden="false" customHeight="false" outlineLevel="0" collapsed="false">
      <c r="A1936" s="14" t="s">
        <v>18</v>
      </c>
      <c r="B1936" s="14" t="n">
        <v>2024</v>
      </c>
      <c r="C1936" s="14" t="n">
        <v>9</v>
      </c>
      <c r="D1936" s="14" t="s">
        <v>58</v>
      </c>
      <c r="E1936" s="15" t="n">
        <v>313580.27</v>
      </c>
      <c r="F1936" s="15" t="n">
        <v>203461.03</v>
      </c>
      <c r="G1936" s="16" t="n">
        <f aca="false">ROUND(E1936+F1936,2)</f>
        <v>517041.3</v>
      </c>
    </row>
    <row r="1937" customFormat="false" ht="15" hidden="false" customHeight="false" outlineLevel="0" collapsed="false">
      <c r="A1937" s="14" t="s">
        <v>18</v>
      </c>
      <c r="B1937" s="14" t="n">
        <v>2024</v>
      </c>
      <c r="C1937" s="14" t="n">
        <v>10</v>
      </c>
      <c r="D1937" s="14" t="s">
        <v>59</v>
      </c>
      <c r="E1937" s="15" t="n">
        <v>336219.19</v>
      </c>
      <c r="F1937" s="15" t="n">
        <v>239597.17</v>
      </c>
      <c r="G1937" s="16" t="n">
        <f aca="false">ROUND(E1937+F1937,2)</f>
        <v>575816.36</v>
      </c>
    </row>
    <row r="1938" customFormat="false" ht="15" hidden="false" customHeight="false" outlineLevel="0" collapsed="false">
      <c r="A1938" s="14" t="s">
        <v>18</v>
      </c>
      <c r="B1938" s="14" t="n">
        <v>2024</v>
      </c>
      <c r="C1938" s="14" t="n">
        <v>11</v>
      </c>
      <c r="D1938" s="14" t="s">
        <v>60</v>
      </c>
      <c r="E1938" s="15" t="n">
        <v>336492.04</v>
      </c>
      <c r="F1938" s="15" t="n">
        <v>234901.68</v>
      </c>
      <c r="G1938" s="16" t="n">
        <f aca="false">ROUND(E1938+F1938,2)</f>
        <v>571393.72</v>
      </c>
    </row>
    <row r="1939" customFormat="false" ht="15" hidden="false" customHeight="false" outlineLevel="0" collapsed="false">
      <c r="A1939" s="14" t="s">
        <v>18</v>
      </c>
      <c r="B1939" s="14" t="n">
        <v>2024</v>
      </c>
      <c r="C1939" s="14" t="n">
        <v>12</v>
      </c>
      <c r="D1939" s="14" t="s">
        <v>61</v>
      </c>
      <c r="E1939" s="15" t="n">
        <v>301637.92</v>
      </c>
      <c r="F1939" s="15" t="n">
        <v>221793.09</v>
      </c>
      <c r="G1939" s="16" t="n">
        <f aca="false">ROUND(E1939+F1939,2)</f>
        <v>523431.01</v>
      </c>
    </row>
    <row r="1940" customFormat="false" ht="15" hidden="false" customHeight="false" outlineLevel="0" collapsed="false">
      <c r="A1940" s="14" t="s">
        <v>18</v>
      </c>
      <c r="B1940" s="14" t="n">
        <v>2025</v>
      </c>
      <c r="C1940" s="14" t="n">
        <v>1</v>
      </c>
      <c r="D1940" s="14" t="s">
        <v>50</v>
      </c>
      <c r="E1940" s="15" t="n">
        <v>342088.31</v>
      </c>
      <c r="F1940" s="15" t="n">
        <v>276563.06</v>
      </c>
      <c r="G1940" s="16" t="n">
        <f aca="false">ROUND(E1940+F1940,2)</f>
        <v>618651.37</v>
      </c>
    </row>
    <row r="1941" customFormat="false" ht="15" hidden="false" customHeight="false" outlineLevel="0" collapsed="false">
      <c r="A1941" s="14" t="s">
        <v>18</v>
      </c>
      <c r="B1941" s="14" t="n">
        <v>2025</v>
      </c>
      <c r="C1941" s="14" t="n">
        <v>2</v>
      </c>
      <c r="D1941" s="14" t="s">
        <v>51</v>
      </c>
      <c r="E1941" s="15" t="n">
        <v>311210.94</v>
      </c>
      <c r="F1941" s="15" t="n">
        <v>239300.95</v>
      </c>
      <c r="G1941" s="16" t="n">
        <f aca="false">ROUND(E1941+F1941,2)</f>
        <v>550511.89</v>
      </c>
    </row>
    <row r="1942" customFormat="false" ht="15" hidden="false" customHeight="false" outlineLevel="0" collapsed="false">
      <c r="A1942" s="14" t="s">
        <v>18</v>
      </c>
      <c r="B1942" s="14" t="n">
        <v>2025</v>
      </c>
      <c r="C1942" s="14" t="n">
        <v>3</v>
      </c>
      <c r="D1942" s="14" t="s">
        <v>52</v>
      </c>
      <c r="E1942" s="15" t="n">
        <v>390593.59</v>
      </c>
      <c r="F1942" s="15" t="n">
        <v>298425.99</v>
      </c>
      <c r="G1942" s="16" t="n">
        <f aca="false">ROUND(E1942+F1942,2)</f>
        <v>689019.58</v>
      </c>
    </row>
    <row r="1943" customFormat="false" ht="15" hidden="false" customHeight="false" outlineLevel="0" collapsed="false">
      <c r="A1943" s="14" t="s">
        <v>18</v>
      </c>
      <c r="B1943" s="14" t="n">
        <v>2025</v>
      </c>
      <c r="C1943" s="14" t="n">
        <v>4</v>
      </c>
      <c r="D1943" s="14" t="s">
        <v>53</v>
      </c>
      <c r="E1943" s="15" t="n">
        <v>345118.02</v>
      </c>
      <c r="F1943" s="15" t="n">
        <v>260980.08</v>
      </c>
      <c r="G1943" s="16" t="n">
        <f aca="false">ROUND(E1943+F1943,2)</f>
        <v>606098.1</v>
      </c>
    </row>
    <row r="1944" customFormat="false" ht="15" hidden="false" customHeight="false" outlineLevel="0" collapsed="false">
      <c r="A1944" s="14" t="s">
        <v>18</v>
      </c>
      <c r="B1944" s="14" t="n">
        <v>2025</v>
      </c>
      <c r="C1944" s="14" t="n">
        <v>5</v>
      </c>
      <c r="D1944" s="14" t="s">
        <v>54</v>
      </c>
      <c r="E1944" s="15" t="n">
        <v>349581.11</v>
      </c>
      <c r="F1944" s="15" t="n">
        <v>267047.19</v>
      </c>
      <c r="G1944" s="16" t="n">
        <f aca="false">ROUND(E1944+F1944,2)</f>
        <v>616628.3</v>
      </c>
    </row>
    <row r="1945" customFormat="false" ht="15" hidden="false" customHeight="false" outlineLevel="0" collapsed="false">
      <c r="A1945" s="14" t="s">
        <v>18</v>
      </c>
      <c r="B1945" s="14" t="n">
        <v>2025</v>
      </c>
      <c r="C1945" s="14" t="n">
        <v>6</v>
      </c>
      <c r="D1945" s="14" t="s">
        <v>55</v>
      </c>
      <c r="E1945" s="15" t="n">
        <v>322300.53</v>
      </c>
      <c r="F1945" s="15" t="n">
        <v>238114.88</v>
      </c>
      <c r="G1945" s="16" t="n">
        <f aca="false">ROUND(E1945+F1945,2)</f>
        <v>560415.41</v>
      </c>
    </row>
    <row r="1946" customFormat="false" ht="15" hidden="false" customHeight="false" outlineLevel="0" collapsed="false">
      <c r="A1946" s="14" t="s">
        <v>18</v>
      </c>
      <c r="B1946" s="14" t="n">
        <v>2025</v>
      </c>
      <c r="C1946" s="14" t="n">
        <v>7</v>
      </c>
      <c r="D1946" s="14" t="s">
        <v>56</v>
      </c>
      <c r="E1946" s="15" t="n">
        <v>352607.31</v>
      </c>
      <c r="F1946" s="15" t="n">
        <v>264869.45</v>
      </c>
      <c r="G1946" s="16" t="n">
        <f aca="false">ROUND(E1946+F1946,2)</f>
        <v>617476.76</v>
      </c>
    </row>
    <row r="1947" customFormat="false" ht="15" hidden="false" customHeight="false" outlineLevel="0" collapsed="false">
      <c r="A1947" s="14" t="s">
        <v>18</v>
      </c>
      <c r="B1947" s="14" t="n">
        <v>2025</v>
      </c>
      <c r="C1947" s="14" t="n">
        <v>8</v>
      </c>
      <c r="D1947" s="14" t="s">
        <v>57</v>
      </c>
      <c r="E1947" s="15" t="n">
        <v>327857.28</v>
      </c>
      <c r="F1947" s="15" t="n">
        <v>235159.48</v>
      </c>
      <c r="G1947" s="16" t="n">
        <f aca="false">ROUND(E1947+F1947,2)</f>
        <v>563016.76</v>
      </c>
    </row>
    <row r="1948" customFormat="false" ht="15" hidden="false" customHeight="false" outlineLevel="0" collapsed="false">
      <c r="A1948" s="14" t="s">
        <v>18</v>
      </c>
      <c r="B1948" s="14" t="n">
        <v>2025</v>
      </c>
      <c r="C1948" s="14" t="n">
        <v>9</v>
      </c>
      <c r="D1948" s="14" t="s">
        <v>58</v>
      </c>
      <c r="E1948" s="15" t="n">
        <v>338033.74</v>
      </c>
      <c r="F1948" s="15" t="n">
        <v>226979.17</v>
      </c>
      <c r="G1948" s="16" t="n">
        <f aca="false">ROUND(E1948+F1948,2)</f>
        <v>565012.91</v>
      </c>
    </row>
    <row r="1949" customFormat="false" ht="15" hidden="false" customHeight="false" outlineLevel="0" collapsed="false">
      <c r="A1949" s="14" t="s">
        <v>18</v>
      </c>
      <c r="B1949" s="14" t="n">
        <v>2025</v>
      </c>
      <c r="C1949" s="14" t="n">
        <v>10</v>
      </c>
      <c r="D1949" s="14" t="s">
        <v>59</v>
      </c>
      <c r="E1949" s="15" t="n">
        <v>450418.78</v>
      </c>
      <c r="F1949" s="15" t="n">
        <v>309243.24</v>
      </c>
      <c r="G1949" s="16" t="n">
        <f aca="false">ROUND(E1949+F1949,2)</f>
        <v>759662.02</v>
      </c>
    </row>
    <row r="1950" customFormat="false" ht="15" hidden="false" customHeight="false" outlineLevel="0" collapsed="false">
      <c r="A1950" s="14" t="s">
        <v>18</v>
      </c>
      <c r="B1950" s="14" t="n">
        <v>2025</v>
      </c>
      <c r="C1950" s="14" t="n">
        <v>11</v>
      </c>
      <c r="D1950" s="14" t="s">
        <v>60</v>
      </c>
      <c r="E1950" s="15" t="n">
        <v>389497.45</v>
      </c>
      <c r="F1950" s="15" t="n">
        <v>244375.13</v>
      </c>
      <c r="G1950" s="16" t="n">
        <f aca="false">ROUND(E1950+F1950,2)</f>
        <v>633872.58</v>
      </c>
    </row>
    <row r="1951" customFormat="false" ht="15" hidden="false" customHeight="false" outlineLevel="0" collapsed="false">
      <c r="A1951" s="14" t="s">
        <v>18</v>
      </c>
      <c r="B1951" s="14" t="n">
        <v>2025</v>
      </c>
      <c r="C1951" s="14" t="n">
        <v>12</v>
      </c>
      <c r="D1951" s="14" t="s">
        <v>61</v>
      </c>
      <c r="E1951" s="15" t="n">
        <v>354467.32</v>
      </c>
      <c r="F1951" s="15" t="n">
        <v>238676.21</v>
      </c>
      <c r="G1951" s="16" t="n">
        <f aca="false">ROUND(E1951+F1951,2)</f>
        <v>593143.53</v>
      </c>
    </row>
    <row r="1952" customFormat="false" ht="15" hidden="false" customHeight="false" outlineLevel="0" collapsed="false">
      <c r="A1952" s="14" t="s">
        <v>18</v>
      </c>
      <c r="B1952" s="14" t="n">
        <v>2026</v>
      </c>
      <c r="C1952" s="14" t="n">
        <v>1</v>
      </c>
      <c r="D1952" s="14" t="s">
        <v>50</v>
      </c>
      <c r="E1952" s="15" t="n">
        <v>365268.81</v>
      </c>
      <c r="F1952" s="15" t="n">
        <v>253186.5</v>
      </c>
      <c r="G1952" s="16" t="n">
        <f aca="false">ROUND(E1952+F1952,2)</f>
        <v>618455.31</v>
      </c>
    </row>
    <row r="1953" customFormat="false" ht="15" hidden="false" customHeight="false" outlineLevel="0" collapsed="false">
      <c r="A1953" s="14" t="s">
        <v>18</v>
      </c>
      <c r="B1953" s="14" t="n">
        <v>2026</v>
      </c>
      <c r="C1953" s="14" t="n">
        <v>2</v>
      </c>
      <c r="D1953" s="14" t="s">
        <v>51</v>
      </c>
      <c r="E1953" s="15" t="n">
        <v>370416.29</v>
      </c>
      <c r="F1953" s="15" t="n">
        <v>215764.94</v>
      </c>
      <c r="G1953" s="16" t="n">
        <f aca="false">ROUND(E1953+F1953,2)</f>
        <v>586181.23</v>
      </c>
    </row>
    <row r="1954" customFormat="false" ht="15" hidden="false" customHeight="false" outlineLevel="0" collapsed="false">
      <c r="A1954" s="14" t="s">
        <v>18</v>
      </c>
      <c r="B1954" s="14" t="n">
        <v>2026</v>
      </c>
      <c r="C1954" s="14" t="n">
        <v>3</v>
      </c>
      <c r="D1954" s="14" t="s">
        <v>52</v>
      </c>
      <c r="E1954" s="15" t="n">
        <v>405481.87</v>
      </c>
      <c r="F1954" s="15" t="n">
        <v>239788.12</v>
      </c>
      <c r="G1954" s="16" t="n">
        <f aca="false">ROUND(E1954+F1954,2)</f>
        <v>645269.99</v>
      </c>
    </row>
    <row r="1955" customFormat="false" ht="15" hidden="false" customHeight="false" outlineLevel="0" collapsed="false">
      <c r="A1955" s="14" t="s">
        <v>18</v>
      </c>
      <c r="B1955" s="14" t="n">
        <v>2026</v>
      </c>
      <c r="C1955" s="14" t="n">
        <v>4</v>
      </c>
      <c r="D1955" s="14" t="s">
        <v>53</v>
      </c>
      <c r="E1955" s="15" t="n">
        <v>422944.63</v>
      </c>
      <c r="F1955" s="15" t="n">
        <v>254639.92</v>
      </c>
      <c r="G1955" s="16" t="n">
        <f aca="false">ROUND(E1955+F1955,2)</f>
        <v>677584.55</v>
      </c>
    </row>
    <row r="1956" customFormat="false" ht="15" hidden="false" customHeight="false" outlineLevel="0" collapsed="false">
      <c r="A1956" s="14" t="s">
        <v>18</v>
      </c>
      <c r="B1956" s="14" t="n">
        <v>2026</v>
      </c>
      <c r="C1956" s="14" t="n">
        <v>5</v>
      </c>
      <c r="D1956" s="14" t="s">
        <v>54</v>
      </c>
      <c r="E1956" s="15" t="n">
        <v>410647.63</v>
      </c>
      <c r="F1956" s="15" t="n">
        <v>235544.26</v>
      </c>
      <c r="G1956" s="16" t="n">
        <f aca="false">ROUND(E1956+F1956,2)</f>
        <v>646191.89</v>
      </c>
    </row>
    <row r="1957" customFormat="false" ht="15" hidden="false" customHeight="false" outlineLevel="0" collapsed="false">
      <c r="A1957" s="14" t="s">
        <v>18</v>
      </c>
      <c r="B1957" s="14" t="n">
        <v>2026</v>
      </c>
      <c r="C1957" s="14" t="n">
        <v>6</v>
      </c>
      <c r="D1957" s="14" t="s">
        <v>55</v>
      </c>
      <c r="E1957" s="15" t="n">
        <v>427557.04</v>
      </c>
      <c r="F1957" s="15" t="n">
        <v>247801.7</v>
      </c>
      <c r="G1957" s="16" t="n">
        <f aca="false">ROUND(E1957+F1957,2)</f>
        <v>675358.74</v>
      </c>
    </row>
    <row r="1958" customFormat="false" ht="15" hidden="false" customHeight="false" outlineLevel="0" collapsed="false">
      <c r="A1958" s="14" t="s">
        <v>18</v>
      </c>
      <c r="B1958" s="14" t="n">
        <v>2026</v>
      </c>
      <c r="C1958" s="14" t="n">
        <v>7</v>
      </c>
      <c r="D1958" s="14" t="s">
        <v>56</v>
      </c>
      <c r="E1958" s="15" t="n">
        <v>469665.4</v>
      </c>
      <c r="F1958" s="15" t="n">
        <v>307039.82</v>
      </c>
      <c r="G1958" s="16" t="n">
        <f aca="false">ROUND(E1958+F1958,2)</f>
        <v>776705.22</v>
      </c>
    </row>
    <row r="1959" customFormat="false" ht="15" hidden="false" customHeight="false" outlineLevel="0" collapsed="false">
      <c r="A1959" s="14" t="s">
        <v>29</v>
      </c>
      <c r="B1959" s="14" t="n">
        <v>2021</v>
      </c>
      <c r="C1959" s="14" t="n">
        <v>1</v>
      </c>
      <c r="D1959" s="14" t="s">
        <v>50</v>
      </c>
      <c r="E1959" s="15" t="n">
        <v>138992.52</v>
      </c>
      <c r="F1959" s="15" t="n">
        <v>81489.78</v>
      </c>
      <c r="G1959" s="16" t="n">
        <f aca="false">ROUND(E1959+F1959,2)</f>
        <v>220482.3</v>
      </c>
    </row>
    <row r="1960" customFormat="false" ht="15" hidden="false" customHeight="false" outlineLevel="0" collapsed="false">
      <c r="A1960" s="14" t="s">
        <v>29</v>
      </c>
      <c r="B1960" s="14" t="n">
        <v>2021</v>
      </c>
      <c r="C1960" s="14" t="n">
        <v>2</v>
      </c>
      <c r="D1960" s="14" t="s">
        <v>51</v>
      </c>
      <c r="E1960" s="15" t="n">
        <v>124490.07</v>
      </c>
      <c r="F1960" s="15" t="n">
        <v>88947.07</v>
      </c>
      <c r="G1960" s="16" t="n">
        <f aca="false">ROUND(E1960+F1960,2)</f>
        <v>213437.14</v>
      </c>
    </row>
    <row r="1961" customFormat="false" ht="15" hidden="false" customHeight="false" outlineLevel="0" collapsed="false">
      <c r="A1961" s="14" t="s">
        <v>29</v>
      </c>
      <c r="B1961" s="14" t="n">
        <v>2021</v>
      </c>
      <c r="C1961" s="14" t="n">
        <v>3</v>
      </c>
      <c r="D1961" s="14" t="s">
        <v>52</v>
      </c>
      <c r="E1961" s="15" t="n">
        <v>147259.68</v>
      </c>
      <c r="F1961" s="15" t="n">
        <v>87621.44</v>
      </c>
      <c r="G1961" s="16" t="n">
        <f aca="false">ROUND(E1961+F1961,2)</f>
        <v>234881.12</v>
      </c>
    </row>
    <row r="1962" customFormat="false" ht="15" hidden="false" customHeight="false" outlineLevel="0" collapsed="false">
      <c r="A1962" s="14" t="s">
        <v>29</v>
      </c>
      <c r="B1962" s="14" t="n">
        <v>2021</v>
      </c>
      <c r="C1962" s="14" t="n">
        <v>4</v>
      </c>
      <c r="D1962" s="14" t="s">
        <v>53</v>
      </c>
      <c r="E1962" s="15" t="n">
        <v>149144.09</v>
      </c>
      <c r="F1962" s="15" t="n">
        <v>90448.67</v>
      </c>
      <c r="G1962" s="16" t="n">
        <f aca="false">ROUND(E1962+F1962,2)</f>
        <v>239592.76</v>
      </c>
    </row>
    <row r="1963" customFormat="false" ht="15" hidden="false" customHeight="false" outlineLevel="0" collapsed="false">
      <c r="A1963" s="14" t="s">
        <v>29</v>
      </c>
      <c r="B1963" s="14" t="n">
        <v>2021</v>
      </c>
      <c r="C1963" s="14" t="n">
        <v>5</v>
      </c>
      <c r="D1963" s="14" t="s">
        <v>54</v>
      </c>
      <c r="E1963" s="15" t="n">
        <v>168021.1</v>
      </c>
      <c r="F1963" s="15" t="n">
        <v>94605.11</v>
      </c>
      <c r="G1963" s="16" t="n">
        <f aca="false">ROUND(E1963+F1963,2)</f>
        <v>262626.21</v>
      </c>
    </row>
    <row r="1964" customFormat="false" ht="15" hidden="false" customHeight="false" outlineLevel="0" collapsed="false">
      <c r="A1964" s="14" t="s">
        <v>29</v>
      </c>
      <c r="B1964" s="14" t="n">
        <v>2021</v>
      </c>
      <c r="C1964" s="14" t="n">
        <v>6</v>
      </c>
      <c r="D1964" s="14" t="s">
        <v>55</v>
      </c>
      <c r="E1964" s="15" t="n">
        <v>170799.73</v>
      </c>
      <c r="F1964" s="15" t="n">
        <v>107661.46</v>
      </c>
      <c r="G1964" s="16" t="n">
        <f aca="false">ROUND(E1964+F1964,2)</f>
        <v>278461.19</v>
      </c>
    </row>
    <row r="1965" customFormat="false" ht="15" hidden="false" customHeight="false" outlineLevel="0" collapsed="false">
      <c r="A1965" s="14" t="s">
        <v>29</v>
      </c>
      <c r="B1965" s="14" t="n">
        <v>2021</v>
      </c>
      <c r="C1965" s="14" t="n">
        <v>7</v>
      </c>
      <c r="D1965" s="14" t="s">
        <v>56</v>
      </c>
      <c r="E1965" s="15" t="n">
        <v>155678.2</v>
      </c>
      <c r="F1965" s="15" t="n">
        <v>105832.98</v>
      </c>
      <c r="G1965" s="16" t="n">
        <f aca="false">ROUND(E1965+F1965,2)</f>
        <v>261511.18</v>
      </c>
    </row>
    <row r="1966" customFormat="false" ht="15" hidden="false" customHeight="false" outlineLevel="0" collapsed="false">
      <c r="A1966" s="14" t="s">
        <v>29</v>
      </c>
      <c r="B1966" s="14" t="n">
        <v>2021</v>
      </c>
      <c r="C1966" s="14" t="n">
        <v>8</v>
      </c>
      <c r="D1966" s="14" t="s">
        <v>57</v>
      </c>
      <c r="E1966" s="15" t="n">
        <v>164171.49</v>
      </c>
      <c r="F1966" s="15" t="n">
        <v>108757.57</v>
      </c>
      <c r="G1966" s="16" t="n">
        <f aca="false">ROUND(E1966+F1966,2)</f>
        <v>272929.06</v>
      </c>
    </row>
    <row r="1967" customFormat="false" ht="15" hidden="false" customHeight="false" outlineLevel="0" collapsed="false">
      <c r="A1967" s="14" t="s">
        <v>29</v>
      </c>
      <c r="B1967" s="14" t="n">
        <v>2021</v>
      </c>
      <c r="C1967" s="14" t="n">
        <v>9</v>
      </c>
      <c r="D1967" s="14" t="s">
        <v>58</v>
      </c>
      <c r="E1967" s="15" t="n">
        <v>150075.86</v>
      </c>
      <c r="F1967" s="15" t="n">
        <v>100399.15</v>
      </c>
      <c r="G1967" s="16" t="n">
        <f aca="false">ROUND(E1967+F1967,2)</f>
        <v>250475.01</v>
      </c>
    </row>
    <row r="1968" customFormat="false" ht="15" hidden="false" customHeight="false" outlineLevel="0" collapsed="false">
      <c r="A1968" s="14" t="s">
        <v>29</v>
      </c>
      <c r="B1968" s="14" t="n">
        <v>2021</v>
      </c>
      <c r="C1968" s="14" t="n">
        <v>10</v>
      </c>
      <c r="D1968" s="14" t="s">
        <v>59</v>
      </c>
      <c r="E1968" s="15" t="n">
        <v>160736.25</v>
      </c>
      <c r="F1968" s="15" t="n">
        <v>110647.78</v>
      </c>
      <c r="G1968" s="16" t="n">
        <f aca="false">ROUND(E1968+F1968,2)</f>
        <v>271384.03</v>
      </c>
    </row>
    <row r="1969" customFormat="false" ht="15" hidden="false" customHeight="false" outlineLevel="0" collapsed="false">
      <c r="A1969" s="14" t="s">
        <v>29</v>
      </c>
      <c r="B1969" s="14" t="n">
        <v>2021</v>
      </c>
      <c r="C1969" s="14" t="n">
        <v>11</v>
      </c>
      <c r="D1969" s="14" t="s">
        <v>60</v>
      </c>
      <c r="E1969" s="15" t="n">
        <v>156801.7</v>
      </c>
      <c r="F1969" s="15" t="n">
        <v>109004.82</v>
      </c>
      <c r="G1969" s="16" t="n">
        <f aca="false">ROUND(E1969+F1969,2)</f>
        <v>265806.52</v>
      </c>
    </row>
    <row r="1970" customFormat="false" ht="15" hidden="false" customHeight="false" outlineLevel="0" collapsed="false">
      <c r="A1970" s="14" t="s">
        <v>29</v>
      </c>
      <c r="B1970" s="14" t="n">
        <v>2021</v>
      </c>
      <c r="C1970" s="14" t="n">
        <v>12</v>
      </c>
      <c r="D1970" s="14" t="s">
        <v>61</v>
      </c>
      <c r="E1970" s="15" t="n">
        <v>193341.37</v>
      </c>
      <c r="F1970" s="15" t="n">
        <v>125649.85</v>
      </c>
      <c r="G1970" s="16" t="n">
        <f aca="false">ROUND(E1970+F1970,2)</f>
        <v>318991.22</v>
      </c>
    </row>
    <row r="1971" customFormat="false" ht="15" hidden="false" customHeight="false" outlineLevel="0" collapsed="false">
      <c r="A1971" s="14" t="s">
        <v>29</v>
      </c>
      <c r="B1971" s="14" t="n">
        <v>2022</v>
      </c>
      <c r="C1971" s="14" t="n">
        <v>1</v>
      </c>
      <c r="D1971" s="14" t="s">
        <v>50</v>
      </c>
      <c r="E1971" s="15" t="n">
        <v>167499.68</v>
      </c>
      <c r="F1971" s="15" t="n">
        <v>122350.74</v>
      </c>
      <c r="G1971" s="16" t="n">
        <f aca="false">ROUND(E1971+F1971,2)</f>
        <v>289850.42</v>
      </c>
    </row>
    <row r="1972" customFormat="false" ht="15" hidden="false" customHeight="false" outlineLevel="0" collapsed="false">
      <c r="A1972" s="14" t="s">
        <v>29</v>
      </c>
      <c r="B1972" s="14" t="n">
        <v>2022</v>
      </c>
      <c r="C1972" s="14" t="n">
        <v>2</v>
      </c>
      <c r="D1972" s="14" t="s">
        <v>51</v>
      </c>
      <c r="E1972" s="15" t="n">
        <v>181757.19</v>
      </c>
      <c r="F1972" s="15" t="n">
        <v>101748.25</v>
      </c>
      <c r="G1972" s="16" t="n">
        <f aca="false">ROUND(E1972+F1972,2)</f>
        <v>283505.44</v>
      </c>
    </row>
    <row r="1973" customFormat="false" ht="15" hidden="false" customHeight="false" outlineLevel="0" collapsed="false">
      <c r="A1973" s="14" t="s">
        <v>29</v>
      </c>
      <c r="B1973" s="14" t="n">
        <v>2022</v>
      </c>
      <c r="C1973" s="14" t="n">
        <v>3</v>
      </c>
      <c r="D1973" s="14" t="s">
        <v>52</v>
      </c>
      <c r="E1973" s="15" t="n">
        <v>247407.85</v>
      </c>
      <c r="F1973" s="15" t="n">
        <v>163998.9</v>
      </c>
      <c r="G1973" s="16" t="n">
        <f aca="false">ROUND(E1973+F1973,2)</f>
        <v>411406.75</v>
      </c>
    </row>
    <row r="1974" customFormat="false" ht="15" hidden="false" customHeight="false" outlineLevel="0" collapsed="false">
      <c r="A1974" s="14" t="s">
        <v>29</v>
      </c>
      <c r="B1974" s="14" t="n">
        <v>2022</v>
      </c>
      <c r="C1974" s="14" t="n">
        <v>4</v>
      </c>
      <c r="D1974" s="14" t="s">
        <v>53</v>
      </c>
      <c r="E1974" s="15" t="n">
        <v>184477.71</v>
      </c>
      <c r="F1974" s="15" t="n">
        <v>139304.58</v>
      </c>
      <c r="G1974" s="16" t="n">
        <f aca="false">ROUND(E1974+F1974,2)</f>
        <v>323782.29</v>
      </c>
    </row>
    <row r="1975" customFormat="false" ht="15" hidden="false" customHeight="false" outlineLevel="0" collapsed="false">
      <c r="A1975" s="14" t="s">
        <v>29</v>
      </c>
      <c r="B1975" s="14" t="n">
        <v>2022</v>
      </c>
      <c r="C1975" s="14" t="n">
        <v>5</v>
      </c>
      <c r="D1975" s="14" t="s">
        <v>54</v>
      </c>
      <c r="E1975" s="15" t="n">
        <v>197965.87</v>
      </c>
      <c r="F1975" s="15" t="n">
        <v>142798.18</v>
      </c>
      <c r="G1975" s="16" t="n">
        <f aca="false">ROUND(E1975+F1975,2)</f>
        <v>340764.05</v>
      </c>
    </row>
    <row r="1976" customFormat="false" ht="15" hidden="false" customHeight="false" outlineLevel="0" collapsed="false">
      <c r="A1976" s="14" t="s">
        <v>29</v>
      </c>
      <c r="B1976" s="14" t="n">
        <v>2022</v>
      </c>
      <c r="C1976" s="14" t="n">
        <v>6</v>
      </c>
      <c r="D1976" s="14" t="s">
        <v>55</v>
      </c>
      <c r="E1976" s="15" t="n">
        <v>211231.78</v>
      </c>
      <c r="F1976" s="15" t="n">
        <v>162146.28</v>
      </c>
      <c r="G1976" s="16" t="n">
        <f aca="false">ROUND(E1976+F1976,2)</f>
        <v>373378.06</v>
      </c>
    </row>
    <row r="1977" customFormat="false" ht="15" hidden="false" customHeight="false" outlineLevel="0" collapsed="false">
      <c r="A1977" s="14" t="s">
        <v>29</v>
      </c>
      <c r="B1977" s="14" t="n">
        <v>2022</v>
      </c>
      <c r="C1977" s="14" t="n">
        <v>7</v>
      </c>
      <c r="D1977" s="14" t="s">
        <v>56</v>
      </c>
      <c r="E1977" s="15" t="n">
        <v>183482.13</v>
      </c>
      <c r="F1977" s="15" t="n">
        <v>157766.62</v>
      </c>
      <c r="G1977" s="16" t="n">
        <f aca="false">ROUND(E1977+F1977,2)</f>
        <v>341248.75</v>
      </c>
    </row>
    <row r="1978" customFormat="false" ht="15" hidden="false" customHeight="false" outlineLevel="0" collapsed="false">
      <c r="A1978" s="14" t="s">
        <v>29</v>
      </c>
      <c r="B1978" s="14" t="n">
        <v>2022</v>
      </c>
      <c r="C1978" s="14" t="n">
        <v>8</v>
      </c>
      <c r="D1978" s="14" t="s">
        <v>57</v>
      </c>
      <c r="E1978" s="15" t="n">
        <v>211752.31</v>
      </c>
      <c r="F1978" s="15" t="n">
        <v>169499.86</v>
      </c>
      <c r="G1978" s="16" t="n">
        <f aca="false">ROUND(E1978+F1978,2)</f>
        <v>381252.17</v>
      </c>
    </row>
    <row r="1979" customFormat="false" ht="15" hidden="false" customHeight="false" outlineLevel="0" collapsed="false">
      <c r="A1979" s="14" t="s">
        <v>29</v>
      </c>
      <c r="B1979" s="14" t="n">
        <v>2022</v>
      </c>
      <c r="C1979" s="14" t="n">
        <v>9</v>
      </c>
      <c r="D1979" s="14" t="s">
        <v>58</v>
      </c>
      <c r="E1979" s="15" t="n">
        <v>186902.76</v>
      </c>
      <c r="F1979" s="15" t="n">
        <v>147537.5</v>
      </c>
      <c r="G1979" s="16" t="n">
        <f aca="false">ROUND(E1979+F1979,2)</f>
        <v>334440.26</v>
      </c>
    </row>
    <row r="1980" customFormat="false" ht="15" hidden="false" customHeight="false" outlineLevel="0" collapsed="false">
      <c r="A1980" s="14" t="s">
        <v>29</v>
      </c>
      <c r="B1980" s="14" t="n">
        <v>2022</v>
      </c>
      <c r="C1980" s="14" t="n">
        <v>10</v>
      </c>
      <c r="D1980" s="14" t="s">
        <v>59</v>
      </c>
      <c r="E1980" s="15" t="n">
        <v>199946.88</v>
      </c>
      <c r="F1980" s="15" t="n">
        <v>179309.35</v>
      </c>
      <c r="G1980" s="16" t="n">
        <f aca="false">ROUND(E1980+F1980,2)</f>
        <v>379256.23</v>
      </c>
    </row>
    <row r="1981" customFormat="false" ht="15" hidden="false" customHeight="false" outlineLevel="0" collapsed="false">
      <c r="A1981" s="14" t="s">
        <v>29</v>
      </c>
      <c r="B1981" s="14" t="n">
        <v>2022</v>
      </c>
      <c r="C1981" s="14" t="n">
        <v>11</v>
      </c>
      <c r="D1981" s="14" t="s">
        <v>60</v>
      </c>
      <c r="E1981" s="15" t="n">
        <v>183224.94</v>
      </c>
      <c r="F1981" s="15" t="n">
        <v>139537.83</v>
      </c>
      <c r="G1981" s="16" t="n">
        <f aca="false">ROUND(E1981+F1981,2)</f>
        <v>322762.77</v>
      </c>
    </row>
    <row r="1982" customFormat="false" ht="15" hidden="false" customHeight="false" outlineLevel="0" collapsed="false">
      <c r="A1982" s="14" t="s">
        <v>29</v>
      </c>
      <c r="B1982" s="14" t="n">
        <v>2022</v>
      </c>
      <c r="C1982" s="14" t="n">
        <v>12</v>
      </c>
      <c r="D1982" s="14" t="s">
        <v>61</v>
      </c>
      <c r="E1982" s="15" t="n">
        <v>236830.53</v>
      </c>
      <c r="F1982" s="15" t="n">
        <v>179399.84</v>
      </c>
      <c r="G1982" s="16" t="n">
        <f aca="false">ROUND(E1982+F1982,2)</f>
        <v>416230.37</v>
      </c>
    </row>
    <row r="1983" customFormat="false" ht="15" hidden="false" customHeight="false" outlineLevel="0" collapsed="false">
      <c r="A1983" s="14" t="s">
        <v>29</v>
      </c>
      <c r="B1983" s="14" t="n">
        <v>2023</v>
      </c>
      <c r="C1983" s="14" t="n">
        <v>1</v>
      </c>
      <c r="D1983" s="14" t="s">
        <v>50</v>
      </c>
      <c r="E1983" s="15" t="n">
        <v>214986.02</v>
      </c>
      <c r="F1983" s="15" t="n">
        <v>176784.97</v>
      </c>
      <c r="G1983" s="16" t="n">
        <f aca="false">ROUND(E1983+F1983,2)</f>
        <v>391770.99</v>
      </c>
    </row>
    <row r="1984" customFormat="false" ht="15" hidden="false" customHeight="false" outlineLevel="0" collapsed="false">
      <c r="A1984" s="14" t="s">
        <v>29</v>
      </c>
      <c r="B1984" s="14" t="n">
        <v>2023</v>
      </c>
      <c r="C1984" s="14" t="n">
        <v>2</v>
      </c>
      <c r="D1984" s="14" t="s">
        <v>51</v>
      </c>
      <c r="E1984" s="15" t="n">
        <v>216236.56</v>
      </c>
      <c r="F1984" s="15" t="n">
        <v>175268.38</v>
      </c>
      <c r="G1984" s="16" t="n">
        <f aca="false">ROUND(E1984+F1984,2)</f>
        <v>391504.94</v>
      </c>
    </row>
    <row r="1985" customFormat="false" ht="15" hidden="false" customHeight="false" outlineLevel="0" collapsed="false">
      <c r="A1985" s="14" t="s">
        <v>29</v>
      </c>
      <c r="B1985" s="14" t="n">
        <v>2023</v>
      </c>
      <c r="C1985" s="14" t="n">
        <v>3</v>
      </c>
      <c r="D1985" s="14" t="s">
        <v>52</v>
      </c>
      <c r="E1985" s="15" t="n">
        <v>222510.66</v>
      </c>
      <c r="F1985" s="15" t="n">
        <v>171078.41</v>
      </c>
      <c r="G1985" s="16" t="n">
        <f aca="false">ROUND(E1985+F1985,2)</f>
        <v>393589.07</v>
      </c>
    </row>
    <row r="1986" customFormat="false" ht="15" hidden="false" customHeight="false" outlineLevel="0" collapsed="false">
      <c r="A1986" s="14" t="s">
        <v>29</v>
      </c>
      <c r="B1986" s="14" t="n">
        <v>2023</v>
      </c>
      <c r="C1986" s="14" t="n">
        <v>4</v>
      </c>
      <c r="D1986" s="14" t="s">
        <v>53</v>
      </c>
      <c r="E1986" s="15" t="n">
        <v>215628.13</v>
      </c>
      <c r="F1986" s="15" t="n">
        <v>158349.41</v>
      </c>
      <c r="G1986" s="16" t="n">
        <f aca="false">ROUND(E1986+F1986,2)</f>
        <v>373977.54</v>
      </c>
    </row>
    <row r="1987" customFormat="false" ht="15" hidden="false" customHeight="false" outlineLevel="0" collapsed="false">
      <c r="A1987" s="14" t="s">
        <v>29</v>
      </c>
      <c r="B1987" s="14" t="n">
        <v>2023</v>
      </c>
      <c r="C1987" s="14" t="n">
        <v>5</v>
      </c>
      <c r="D1987" s="14" t="s">
        <v>54</v>
      </c>
      <c r="E1987" s="15" t="n">
        <v>246077.84</v>
      </c>
      <c r="F1987" s="15" t="n">
        <v>165113.79</v>
      </c>
      <c r="G1987" s="16" t="n">
        <f aca="false">ROUND(E1987+F1987,2)</f>
        <v>411191.63</v>
      </c>
    </row>
    <row r="1988" customFormat="false" ht="15" hidden="false" customHeight="false" outlineLevel="0" collapsed="false">
      <c r="A1988" s="14" t="s">
        <v>29</v>
      </c>
      <c r="B1988" s="14" t="n">
        <v>2023</v>
      </c>
      <c r="C1988" s="14" t="n">
        <v>6</v>
      </c>
      <c r="D1988" s="14" t="s">
        <v>55</v>
      </c>
      <c r="E1988" s="15" t="n">
        <v>254974.98</v>
      </c>
      <c r="F1988" s="15" t="n">
        <v>154059.41</v>
      </c>
      <c r="G1988" s="16" t="n">
        <f aca="false">ROUND(E1988+F1988,2)</f>
        <v>409034.39</v>
      </c>
    </row>
    <row r="1989" customFormat="false" ht="15" hidden="false" customHeight="false" outlineLevel="0" collapsed="false">
      <c r="A1989" s="14" t="s">
        <v>29</v>
      </c>
      <c r="B1989" s="14" t="n">
        <v>2023</v>
      </c>
      <c r="C1989" s="14" t="n">
        <v>7</v>
      </c>
      <c r="D1989" s="14" t="s">
        <v>56</v>
      </c>
      <c r="E1989" s="15" t="n">
        <v>235977.19</v>
      </c>
      <c r="F1989" s="15" t="n">
        <v>190998.65</v>
      </c>
      <c r="G1989" s="16" t="n">
        <f aca="false">ROUND(E1989+F1989,2)</f>
        <v>426975.84</v>
      </c>
    </row>
    <row r="1990" customFormat="false" ht="15" hidden="false" customHeight="false" outlineLevel="0" collapsed="false">
      <c r="A1990" s="14" t="s">
        <v>29</v>
      </c>
      <c r="B1990" s="14" t="n">
        <v>2023</v>
      </c>
      <c r="C1990" s="14" t="n">
        <v>8</v>
      </c>
      <c r="D1990" s="14" t="s">
        <v>57</v>
      </c>
      <c r="E1990" s="15" t="n">
        <v>275910.4</v>
      </c>
      <c r="F1990" s="15" t="n">
        <v>174626.17</v>
      </c>
      <c r="G1990" s="16" t="n">
        <f aca="false">ROUND(E1990+F1990,2)</f>
        <v>450536.57</v>
      </c>
    </row>
    <row r="1991" customFormat="false" ht="15" hidden="false" customHeight="false" outlineLevel="0" collapsed="false">
      <c r="A1991" s="14" t="s">
        <v>29</v>
      </c>
      <c r="B1991" s="14" t="n">
        <v>2023</v>
      </c>
      <c r="C1991" s="14" t="n">
        <v>9</v>
      </c>
      <c r="D1991" s="14" t="s">
        <v>58</v>
      </c>
      <c r="E1991" s="15" t="n">
        <v>226631.88</v>
      </c>
      <c r="F1991" s="15" t="n">
        <v>168000.77</v>
      </c>
      <c r="G1991" s="16" t="n">
        <f aca="false">ROUND(E1991+F1991,2)</f>
        <v>394632.65</v>
      </c>
    </row>
    <row r="1992" customFormat="false" ht="15" hidden="false" customHeight="false" outlineLevel="0" collapsed="false">
      <c r="A1992" s="14" t="s">
        <v>29</v>
      </c>
      <c r="B1992" s="14" t="n">
        <v>2023</v>
      </c>
      <c r="C1992" s="14" t="n">
        <v>10</v>
      </c>
      <c r="D1992" s="14" t="s">
        <v>59</v>
      </c>
      <c r="E1992" s="15" t="n">
        <v>258553.83</v>
      </c>
      <c r="F1992" s="15" t="n">
        <v>174942.31</v>
      </c>
      <c r="G1992" s="16" t="n">
        <f aca="false">ROUND(E1992+F1992,2)</f>
        <v>433496.14</v>
      </c>
    </row>
    <row r="1993" customFormat="false" ht="15" hidden="false" customHeight="false" outlineLevel="0" collapsed="false">
      <c r="A1993" s="14" t="s">
        <v>29</v>
      </c>
      <c r="B1993" s="14" t="n">
        <v>2023</v>
      </c>
      <c r="C1993" s="14" t="n">
        <v>11</v>
      </c>
      <c r="D1993" s="14" t="s">
        <v>60</v>
      </c>
      <c r="E1993" s="15" t="n">
        <v>240820.05</v>
      </c>
      <c r="F1993" s="15" t="n">
        <v>185154.44</v>
      </c>
      <c r="G1993" s="16" t="n">
        <f aca="false">ROUND(E1993+F1993,2)</f>
        <v>425974.49</v>
      </c>
    </row>
    <row r="1994" customFormat="false" ht="15" hidden="false" customHeight="false" outlineLevel="0" collapsed="false">
      <c r="A1994" s="14" t="s">
        <v>29</v>
      </c>
      <c r="B1994" s="14" t="n">
        <v>2023</v>
      </c>
      <c r="C1994" s="14" t="n">
        <v>12</v>
      </c>
      <c r="D1994" s="14" t="s">
        <v>61</v>
      </c>
      <c r="E1994" s="15" t="n">
        <v>253833.13</v>
      </c>
      <c r="F1994" s="15" t="n">
        <v>180460.06</v>
      </c>
      <c r="G1994" s="16" t="n">
        <f aca="false">ROUND(E1994+F1994,2)</f>
        <v>434293.19</v>
      </c>
    </row>
    <row r="1995" customFormat="false" ht="15" hidden="false" customHeight="false" outlineLevel="0" collapsed="false">
      <c r="A1995" s="14" t="s">
        <v>29</v>
      </c>
      <c r="B1995" s="14" t="n">
        <v>2024</v>
      </c>
      <c r="C1995" s="14" t="n">
        <v>1</v>
      </c>
      <c r="D1995" s="14" t="s">
        <v>50</v>
      </c>
      <c r="E1995" s="15" t="n">
        <v>236250.67</v>
      </c>
      <c r="F1995" s="15" t="n">
        <v>186286.38</v>
      </c>
      <c r="G1995" s="16" t="n">
        <f aca="false">ROUND(E1995+F1995,2)</f>
        <v>422537.05</v>
      </c>
    </row>
    <row r="1996" customFormat="false" ht="15" hidden="false" customHeight="false" outlineLevel="0" collapsed="false">
      <c r="A1996" s="14" t="s">
        <v>29</v>
      </c>
      <c r="B1996" s="14" t="n">
        <v>2024</v>
      </c>
      <c r="C1996" s="14" t="n">
        <v>2</v>
      </c>
      <c r="D1996" s="14" t="s">
        <v>51</v>
      </c>
      <c r="E1996" s="15" t="n">
        <v>224901.2</v>
      </c>
      <c r="F1996" s="15" t="n">
        <v>181639.86</v>
      </c>
      <c r="G1996" s="16" t="n">
        <f aca="false">ROUND(E1996+F1996,2)</f>
        <v>406541.06</v>
      </c>
    </row>
    <row r="1997" customFormat="false" ht="15" hidden="false" customHeight="false" outlineLevel="0" collapsed="false">
      <c r="A1997" s="14" t="s">
        <v>29</v>
      </c>
      <c r="B1997" s="14" t="n">
        <v>2024</v>
      </c>
      <c r="C1997" s="14" t="n">
        <v>3</v>
      </c>
      <c r="D1997" s="14" t="s">
        <v>52</v>
      </c>
      <c r="E1997" s="15" t="n">
        <v>220234.98</v>
      </c>
      <c r="F1997" s="15" t="n">
        <v>174502.6</v>
      </c>
      <c r="G1997" s="16" t="n">
        <f aca="false">ROUND(E1997+F1997,2)</f>
        <v>394737.58</v>
      </c>
    </row>
    <row r="1998" customFormat="false" ht="15" hidden="false" customHeight="false" outlineLevel="0" collapsed="false">
      <c r="A1998" s="14" t="s">
        <v>29</v>
      </c>
      <c r="B1998" s="14" t="n">
        <v>2024</v>
      </c>
      <c r="C1998" s="14" t="n">
        <v>4</v>
      </c>
      <c r="D1998" s="14" t="s">
        <v>53</v>
      </c>
      <c r="E1998" s="15" t="n">
        <v>212993.21</v>
      </c>
      <c r="F1998" s="15" t="n">
        <v>149159.87</v>
      </c>
      <c r="G1998" s="16" t="n">
        <f aca="false">ROUND(E1998+F1998,2)</f>
        <v>362153.08</v>
      </c>
    </row>
    <row r="1999" customFormat="false" ht="15" hidden="false" customHeight="false" outlineLevel="0" collapsed="false">
      <c r="A1999" s="14" t="s">
        <v>29</v>
      </c>
      <c r="B1999" s="14" t="n">
        <v>2024</v>
      </c>
      <c r="C1999" s="14" t="n">
        <v>5</v>
      </c>
      <c r="D1999" s="14" t="s">
        <v>54</v>
      </c>
      <c r="E1999" s="15" t="n">
        <v>248522.33</v>
      </c>
      <c r="F1999" s="15" t="n">
        <v>173728.31</v>
      </c>
      <c r="G1999" s="16" t="n">
        <f aca="false">ROUND(E1999+F1999,2)</f>
        <v>422250.64</v>
      </c>
    </row>
    <row r="2000" customFormat="false" ht="15" hidden="false" customHeight="false" outlineLevel="0" collapsed="false">
      <c r="A2000" s="14" t="s">
        <v>29</v>
      </c>
      <c r="B2000" s="14" t="n">
        <v>2024</v>
      </c>
      <c r="C2000" s="14" t="n">
        <v>6</v>
      </c>
      <c r="D2000" s="14" t="s">
        <v>55</v>
      </c>
      <c r="E2000" s="15" t="n">
        <v>84784.44</v>
      </c>
      <c r="F2000" s="15" t="n">
        <v>40520.19</v>
      </c>
      <c r="G2000" s="16" t="n">
        <f aca="false">ROUND(E2000+F2000,2)</f>
        <v>125304.63</v>
      </c>
    </row>
    <row r="2001" customFormat="false" ht="15" hidden="false" customHeight="false" outlineLevel="0" collapsed="false">
      <c r="A2001" s="14" t="s">
        <v>29</v>
      </c>
      <c r="B2001" s="14" t="n">
        <v>2024</v>
      </c>
      <c r="C2001" s="14" t="n">
        <v>7</v>
      </c>
      <c r="D2001" s="14" t="s">
        <v>56</v>
      </c>
      <c r="E2001" s="15" t="n">
        <v>276999.71</v>
      </c>
      <c r="F2001" s="15" t="n">
        <v>198550.03</v>
      </c>
      <c r="G2001" s="16" t="n">
        <f aca="false">ROUND(E2001+F2001,2)</f>
        <v>475549.74</v>
      </c>
    </row>
    <row r="2002" customFormat="false" ht="15" hidden="false" customHeight="false" outlineLevel="0" collapsed="false">
      <c r="A2002" s="14" t="s">
        <v>29</v>
      </c>
      <c r="B2002" s="14" t="n">
        <v>2024</v>
      </c>
      <c r="C2002" s="14" t="n">
        <v>8</v>
      </c>
      <c r="D2002" s="14" t="s">
        <v>57</v>
      </c>
      <c r="E2002" s="15" t="n">
        <v>288153.17</v>
      </c>
      <c r="F2002" s="15" t="n">
        <v>216263.83</v>
      </c>
      <c r="G2002" s="16" t="n">
        <f aca="false">ROUND(E2002+F2002,2)</f>
        <v>504417</v>
      </c>
    </row>
    <row r="2003" customFormat="false" ht="15" hidden="false" customHeight="false" outlineLevel="0" collapsed="false">
      <c r="A2003" s="14" t="s">
        <v>29</v>
      </c>
      <c r="B2003" s="14" t="n">
        <v>2024</v>
      </c>
      <c r="C2003" s="14" t="n">
        <v>9</v>
      </c>
      <c r="D2003" s="14" t="s">
        <v>58</v>
      </c>
      <c r="E2003" s="15" t="n">
        <v>248335.18</v>
      </c>
      <c r="F2003" s="15" t="n">
        <v>145858.09</v>
      </c>
      <c r="G2003" s="16" t="n">
        <f aca="false">ROUND(E2003+F2003,2)</f>
        <v>394193.27</v>
      </c>
    </row>
    <row r="2004" customFormat="false" ht="15" hidden="false" customHeight="false" outlineLevel="0" collapsed="false">
      <c r="A2004" s="14" t="s">
        <v>29</v>
      </c>
      <c r="B2004" s="14" t="n">
        <v>2024</v>
      </c>
      <c r="C2004" s="14" t="n">
        <v>10</v>
      </c>
      <c r="D2004" s="14" t="s">
        <v>59</v>
      </c>
      <c r="E2004" s="15" t="n">
        <v>279301.61</v>
      </c>
      <c r="F2004" s="15" t="n">
        <v>194497.61</v>
      </c>
      <c r="G2004" s="16" t="n">
        <f aca="false">ROUND(E2004+F2004,2)</f>
        <v>473799.22</v>
      </c>
    </row>
    <row r="2005" customFormat="false" ht="15" hidden="false" customHeight="false" outlineLevel="0" collapsed="false">
      <c r="A2005" s="14" t="s">
        <v>29</v>
      </c>
      <c r="B2005" s="14" t="n">
        <v>2024</v>
      </c>
      <c r="C2005" s="14" t="n">
        <v>11</v>
      </c>
      <c r="D2005" s="14" t="s">
        <v>60</v>
      </c>
      <c r="E2005" s="15" t="n">
        <v>221335.95</v>
      </c>
      <c r="F2005" s="15" t="n">
        <v>141371.6</v>
      </c>
      <c r="G2005" s="16" t="n">
        <f aca="false">ROUND(E2005+F2005,2)</f>
        <v>362707.55</v>
      </c>
    </row>
    <row r="2006" customFormat="false" ht="15" hidden="false" customHeight="false" outlineLevel="0" collapsed="false">
      <c r="A2006" s="14" t="s">
        <v>29</v>
      </c>
      <c r="B2006" s="14" t="n">
        <v>2024</v>
      </c>
      <c r="C2006" s="14" t="n">
        <v>12</v>
      </c>
      <c r="D2006" s="14" t="s">
        <v>61</v>
      </c>
      <c r="E2006" s="15" t="n">
        <v>211032.96</v>
      </c>
      <c r="F2006" s="15" t="n">
        <v>137797.1</v>
      </c>
      <c r="G2006" s="16" t="n">
        <f aca="false">ROUND(E2006+F2006,2)</f>
        <v>348830.06</v>
      </c>
    </row>
    <row r="2007" customFormat="false" ht="15" hidden="false" customHeight="false" outlineLevel="0" collapsed="false">
      <c r="A2007" s="14" t="s">
        <v>29</v>
      </c>
      <c r="B2007" s="14" t="n">
        <v>2025</v>
      </c>
      <c r="C2007" s="14" t="n">
        <v>1</v>
      </c>
      <c r="D2007" s="14" t="s">
        <v>50</v>
      </c>
      <c r="E2007" s="15" t="n">
        <v>251075.71</v>
      </c>
      <c r="F2007" s="15" t="n">
        <v>174749.19</v>
      </c>
      <c r="G2007" s="16" t="n">
        <f aca="false">ROUND(E2007+F2007,2)</f>
        <v>425824.9</v>
      </c>
    </row>
    <row r="2008" customFormat="false" ht="15" hidden="false" customHeight="false" outlineLevel="0" collapsed="false">
      <c r="A2008" s="14" t="s">
        <v>29</v>
      </c>
      <c r="B2008" s="14" t="n">
        <v>2025</v>
      </c>
      <c r="C2008" s="14" t="n">
        <v>2</v>
      </c>
      <c r="D2008" s="14" t="s">
        <v>51</v>
      </c>
      <c r="E2008" s="15" t="n">
        <v>216193.13</v>
      </c>
      <c r="F2008" s="15" t="n">
        <v>158523.76</v>
      </c>
      <c r="G2008" s="16" t="n">
        <f aca="false">ROUND(E2008+F2008,2)</f>
        <v>374716.89</v>
      </c>
    </row>
    <row r="2009" customFormat="false" ht="15" hidden="false" customHeight="false" outlineLevel="0" collapsed="false">
      <c r="A2009" s="14" t="s">
        <v>29</v>
      </c>
      <c r="B2009" s="14" t="n">
        <v>2025</v>
      </c>
      <c r="C2009" s="14" t="n">
        <v>3</v>
      </c>
      <c r="D2009" s="14" t="s">
        <v>52</v>
      </c>
      <c r="E2009" s="15" t="n">
        <v>269095.2</v>
      </c>
      <c r="F2009" s="15" t="n">
        <v>184140.12</v>
      </c>
      <c r="G2009" s="16" t="n">
        <f aca="false">ROUND(E2009+F2009,2)</f>
        <v>453235.32</v>
      </c>
    </row>
    <row r="2010" customFormat="false" ht="15" hidden="false" customHeight="false" outlineLevel="0" collapsed="false">
      <c r="A2010" s="14" t="s">
        <v>29</v>
      </c>
      <c r="B2010" s="14" t="n">
        <v>2025</v>
      </c>
      <c r="C2010" s="14" t="n">
        <v>4</v>
      </c>
      <c r="D2010" s="14" t="s">
        <v>53</v>
      </c>
      <c r="E2010" s="15" t="n">
        <v>255232.87</v>
      </c>
      <c r="F2010" s="15" t="n">
        <v>167385.03</v>
      </c>
      <c r="G2010" s="16" t="n">
        <f aca="false">ROUND(E2010+F2010,2)</f>
        <v>422617.9</v>
      </c>
    </row>
    <row r="2011" customFormat="false" ht="15" hidden="false" customHeight="false" outlineLevel="0" collapsed="false">
      <c r="A2011" s="14" t="s">
        <v>29</v>
      </c>
      <c r="B2011" s="14" t="n">
        <v>2025</v>
      </c>
      <c r="C2011" s="14" t="n">
        <v>5</v>
      </c>
      <c r="D2011" s="14" t="s">
        <v>54</v>
      </c>
      <c r="E2011" s="15" t="n">
        <v>245930.53</v>
      </c>
      <c r="F2011" s="15" t="n">
        <v>181036.66</v>
      </c>
      <c r="G2011" s="16" t="n">
        <f aca="false">ROUND(E2011+F2011,2)</f>
        <v>426967.19</v>
      </c>
    </row>
    <row r="2012" customFormat="false" ht="15" hidden="false" customHeight="false" outlineLevel="0" collapsed="false">
      <c r="A2012" s="14" t="s">
        <v>29</v>
      </c>
      <c r="B2012" s="14" t="n">
        <v>2025</v>
      </c>
      <c r="C2012" s="14" t="n">
        <v>6</v>
      </c>
      <c r="D2012" s="14" t="s">
        <v>55</v>
      </c>
      <c r="E2012" s="15" t="n">
        <v>276145.44</v>
      </c>
      <c r="F2012" s="15" t="n">
        <v>178508.4</v>
      </c>
      <c r="G2012" s="16" t="n">
        <f aca="false">ROUND(E2012+F2012,2)</f>
        <v>454653.84</v>
      </c>
    </row>
    <row r="2013" customFormat="false" ht="15" hidden="false" customHeight="false" outlineLevel="0" collapsed="false">
      <c r="A2013" s="14" t="s">
        <v>29</v>
      </c>
      <c r="B2013" s="14" t="n">
        <v>2025</v>
      </c>
      <c r="C2013" s="14" t="n">
        <v>7</v>
      </c>
      <c r="D2013" s="14" t="s">
        <v>56</v>
      </c>
      <c r="E2013" s="15" t="n">
        <v>271126.18</v>
      </c>
      <c r="F2013" s="15" t="n">
        <v>179965.81</v>
      </c>
      <c r="G2013" s="16" t="n">
        <f aca="false">ROUND(E2013+F2013,2)</f>
        <v>451091.99</v>
      </c>
    </row>
    <row r="2014" customFormat="false" ht="15" hidden="false" customHeight="false" outlineLevel="0" collapsed="false">
      <c r="A2014" s="14" t="s">
        <v>29</v>
      </c>
      <c r="B2014" s="14" t="n">
        <v>2025</v>
      </c>
      <c r="C2014" s="14" t="n">
        <v>8</v>
      </c>
      <c r="D2014" s="14" t="s">
        <v>57</v>
      </c>
      <c r="E2014" s="15" t="n">
        <v>281661.87</v>
      </c>
      <c r="F2014" s="15" t="n">
        <v>174682.42</v>
      </c>
      <c r="G2014" s="16" t="n">
        <f aca="false">ROUND(E2014+F2014,2)</f>
        <v>456344.29</v>
      </c>
    </row>
    <row r="2015" customFormat="false" ht="15" hidden="false" customHeight="false" outlineLevel="0" collapsed="false">
      <c r="A2015" s="14" t="s">
        <v>29</v>
      </c>
      <c r="B2015" s="14" t="n">
        <v>2025</v>
      </c>
      <c r="C2015" s="14" t="n">
        <v>9</v>
      </c>
      <c r="D2015" s="14" t="s">
        <v>58</v>
      </c>
      <c r="E2015" s="15" t="n">
        <v>241922.9</v>
      </c>
      <c r="F2015" s="15" t="n">
        <v>143578.16</v>
      </c>
      <c r="G2015" s="16" t="n">
        <f aca="false">ROUND(E2015+F2015,2)</f>
        <v>385501.06</v>
      </c>
    </row>
    <row r="2016" customFormat="false" ht="15" hidden="false" customHeight="false" outlineLevel="0" collapsed="false">
      <c r="A2016" s="14" t="s">
        <v>29</v>
      </c>
      <c r="B2016" s="14" t="n">
        <v>2025</v>
      </c>
      <c r="C2016" s="14" t="n">
        <v>10</v>
      </c>
      <c r="D2016" s="14" t="s">
        <v>59</v>
      </c>
      <c r="E2016" s="15" t="n">
        <v>253161.79</v>
      </c>
      <c r="F2016" s="15" t="n">
        <v>167581.87</v>
      </c>
      <c r="G2016" s="16" t="n">
        <f aca="false">ROUND(E2016+F2016,2)</f>
        <v>420743.66</v>
      </c>
    </row>
    <row r="2017" customFormat="false" ht="15" hidden="false" customHeight="false" outlineLevel="0" collapsed="false">
      <c r="A2017" s="14" t="s">
        <v>29</v>
      </c>
      <c r="B2017" s="14" t="n">
        <v>2025</v>
      </c>
      <c r="C2017" s="14" t="n">
        <v>11</v>
      </c>
      <c r="D2017" s="14" t="s">
        <v>60</v>
      </c>
      <c r="E2017" s="15" t="n">
        <v>238998.11</v>
      </c>
      <c r="F2017" s="15" t="n">
        <v>145199.08</v>
      </c>
      <c r="G2017" s="16" t="n">
        <f aca="false">ROUND(E2017+F2017,2)</f>
        <v>384197.19</v>
      </c>
    </row>
    <row r="2018" customFormat="false" ht="15" hidden="false" customHeight="false" outlineLevel="0" collapsed="false">
      <c r="A2018" s="14" t="s">
        <v>29</v>
      </c>
      <c r="B2018" s="14" t="n">
        <v>2025</v>
      </c>
      <c r="C2018" s="14" t="n">
        <v>12</v>
      </c>
      <c r="D2018" s="14" t="s">
        <v>61</v>
      </c>
      <c r="E2018" s="15" t="n">
        <v>268488.42</v>
      </c>
      <c r="F2018" s="15" t="n">
        <v>137977.76</v>
      </c>
      <c r="G2018" s="16" t="n">
        <f aca="false">ROUND(E2018+F2018,2)</f>
        <v>406466.18</v>
      </c>
    </row>
    <row r="2019" customFormat="false" ht="15" hidden="false" customHeight="false" outlineLevel="0" collapsed="false">
      <c r="A2019" s="14" t="s">
        <v>29</v>
      </c>
      <c r="B2019" s="14" t="n">
        <v>2026</v>
      </c>
      <c r="C2019" s="14" t="n">
        <v>1</v>
      </c>
      <c r="D2019" s="14" t="s">
        <v>50</v>
      </c>
      <c r="E2019" s="15" t="n">
        <v>265459.38</v>
      </c>
      <c r="F2019" s="15" t="n">
        <v>153510.92</v>
      </c>
      <c r="G2019" s="16" t="n">
        <f aca="false">ROUND(E2019+F2019,2)</f>
        <v>418970.3</v>
      </c>
    </row>
    <row r="2020" customFormat="false" ht="15" hidden="false" customHeight="false" outlineLevel="0" collapsed="false">
      <c r="A2020" s="14" t="s">
        <v>29</v>
      </c>
      <c r="B2020" s="14" t="n">
        <v>2026</v>
      </c>
      <c r="C2020" s="14" t="n">
        <v>2</v>
      </c>
      <c r="D2020" s="14" t="s">
        <v>51</v>
      </c>
      <c r="E2020" s="15" t="n">
        <v>232924.2</v>
      </c>
      <c r="F2020" s="15" t="n">
        <v>124084.21</v>
      </c>
      <c r="G2020" s="16" t="n">
        <f aca="false">ROUND(E2020+F2020,2)</f>
        <v>357008.41</v>
      </c>
    </row>
    <row r="2021" customFormat="false" ht="15" hidden="false" customHeight="false" outlineLevel="0" collapsed="false">
      <c r="A2021" s="14" t="s">
        <v>29</v>
      </c>
      <c r="B2021" s="14" t="n">
        <v>2026</v>
      </c>
      <c r="C2021" s="14" t="n">
        <v>3</v>
      </c>
      <c r="D2021" s="14" t="s">
        <v>52</v>
      </c>
      <c r="E2021" s="15" t="n">
        <v>267047.26</v>
      </c>
      <c r="F2021" s="15" t="n">
        <v>172311.27</v>
      </c>
      <c r="G2021" s="16" t="n">
        <f aca="false">ROUND(E2021+F2021,2)</f>
        <v>439358.53</v>
      </c>
    </row>
    <row r="2022" customFormat="false" ht="15" hidden="false" customHeight="false" outlineLevel="0" collapsed="false">
      <c r="A2022" s="14" t="s">
        <v>29</v>
      </c>
      <c r="B2022" s="14" t="n">
        <v>2026</v>
      </c>
      <c r="C2022" s="14" t="n">
        <v>4</v>
      </c>
      <c r="D2022" s="14" t="s">
        <v>53</v>
      </c>
      <c r="E2022" s="15" t="n">
        <v>293662.93</v>
      </c>
      <c r="F2022" s="15" t="n">
        <v>179107.08</v>
      </c>
      <c r="G2022" s="16" t="n">
        <f aca="false">ROUND(E2022+F2022,2)</f>
        <v>472770.01</v>
      </c>
    </row>
    <row r="2023" customFormat="false" ht="15" hidden="false" customHeight="false" outlineLevel="0" collapsed="false">
      <c r="A2023" s="14" t="s">
        <v>29</v>
      </c>
      <c r="B2023" s="14" t="n">
        <v>2026</v>
      </c>
      <c r="C2023" s="14" t="n">
        <v>5</v>
      </c>
      <c r="D2023" s="14" t="s">
        <v>54</v>
      </c>
      <c r="E2023" s="15" t="n">
        <v>268579.91</v>
      </c>
      <c r="F2023" s="15" t="n">
        <v>160749.17</v>
      </c>
      <c r="G2023" s="16" t="n">
        <f aca="false">ROUND(E2023+F2023,2)</f>
        <v>429329.08</v>
      </c>
    </row>
    <row r="2024" customFormat="false" ht="15" hidden="false" customHeight="false" outlineLevel="0" collapsed="false">
      <c r="A2024" s="14" t="s">
        <v>29</v>
      </c>
      <c r="B2024" s="14" t="n">
        <v>2026</v>
      </c>
      <c r="C2024" s="14" t="n">
        <v>6</v>
      </c>
      <c r="D2024" s="14" t="s">
        <v>55</v>
      </c>
      <c r="E2024" s="15" t="n">
        <v>304953.94</v>
      </c>
      <c r="F2024" s="15" t="n">
        <v>180167.95</v>
      </c>
      <c r="G2024" s="16" t="n">
        <f aca="false">ROUND(E2024+F2024,2)</f>
        <v>485121.89</v>
      </c>
    </row>
    <row r="2025" customFormat="false" ht="15" hidden="false" customHeight="false" outlineLevel="0" collapsed="false">
      <c r="A2025" s="14" t="s">
        <v>29</v>
      </c>
      <c r="B2025" s="14" t="n">
        <v>2026</v>
      </c>
      <c r="C2025" s="14" t="n">
        <v>7</v>
      </c>
      <c r="D2025" s="14" t="s">
        <v>56</v>
      </c>
      <c r="E2025" s="15" t="n">
        <v>268587.15</v>
      </c>
      <c r="F2025" s="15" t="n">
        <v>162862.5</v>
      </c>
      <c r="G2025" s="16" t="n">
        <f aca="false">ROUND(E2025+F2025,2)</f>
        <v>431449.65</v>
      </c>
    </row>
    <row r="2026" customFormat="false" ht="15" hidden="false" customHeight="false" outlineLevel="0" collapsed="false">
      <c r="A2026" s="14" t="s">
        <v>23</v>
      </c>
      <c r="B2026" s="14" t="n">
        <v>2021</v>
      </c>
      <c r="C2026" s="14" t="n">
        <v>1</v>
      </c>
      <c r="D2026" s="14" t="s">
        <v>50</v>
      </c>
      <c r="E2026" s="15" t="n">
        <v>242784.37</v>
      </c>
      <c r="F2026" s="15" t="n">
        <v>127557.73</v>
      </c>
      <c r="G2026" s="16" t="n">
        <f aca="false">ROUND(E2026+F2026,2)</f>
        <v>370342.1</v>
      </c>
    </row>
    <row r="2027" customFormat="false" ht="15" hidden="false" customHeight="false" outlineLevel="0" collapsed="false">
      <c r="A2027" s="14" t="s">
        <v>23</v>
      </c>
      <c r="B2027" s="14" t="n">
        <v>2021</v>
      </c>
      <c r="C2027" s="14" t="n">
        <v>2</v>
      </c>
      <c r="D2027" s="14" t="s">
        <v>51</v>
      </c>
      <c r="E2027" s="15" t="n">
        <v>203414.08</v>
      </c>
      <c r="F2027" s="15" t="n">
        <v>105641.51</v>
      </c>
      <c r="G2027" s="16" t="n">
        <f aca="false">ROUND(E2027+F2027,2)</f>
        <v>309055.59</v>
      </c>
    </row>
    <row r="2028" customFormat="false" ht="15" hidden="false" customHeight="false" outlineLevel="0" collapsed="false">
      <c r="A2028" s="14" t="s">
        <v>23</v>
      </c>
      <c r="B2028" s="14" t="n">
        <v>2021</v>
      </c>
      <c r="C2028" s="14" t="n">
        <v>3</v>
      </c>
      <c r="D2028" s="14" t="s">
        <v>52</v>
      </c>
      <c r="E2028" s="15" t="n">
        <v>239743.23</v>
      </c>
      <c r="F2028" s="15" t="n">
        <v>147648.94</v>
      </c>
      <c r="G2028" s="16" t="n">
        <f aca="false">ROUND(E2028+F2028,2)</f>
        <v>387392.17</v>
      </c>
    </row>
    <row r="2029" customFormat="false" ht="15" hidden="false" customHeight="false" outlineLevel="0" collapsed="false">
      <c r="A2029" s="14" t="s">
        <v>23</v>
      </c>
      <c r="B2029" s="14" t="n">
        <v>2021</v>
      </c>
      <c r="C2029" s="14" t="n">
        <v>4</v>
      </c>
      <c r="D2029" s="14" t="s">
        <v>53</v>
      </c>
      <c r="E2029" s="15" t="n">
        <v>275653.28</v>
      </c>
      <c r="F2029" s="15" t="n">
        <v>151455.27</v>
      </c>
      <c r="G2029" s="16" t="n">
        <f aca="false">ROUND(E2029+F2029,2)</f>
        <v>427108.55</v>
      </c>
    </row>
    <row r="2030" customFormat="false" ht="15" hidden="false" customHeight="false" outlineLevel="0" collapsed="false">
      <c r="A2030" s="14" t="s">
        <v>23</v>
      </c>
      <c r="B2030" s="14" t="n">
        <v>2021</v>
      </c>
      <c r="C2030" s="14" t="n">
        <v>5</v>
      </c>
      <c r="D2030" s="14" t="s">
        <v>54</v>
      </c>
      <c r="E2030" s="15" t="n">
        <v>255996.05</v>
      </c>
      <c r="F2030" s="15" t="n">
        <v>126331.35</v>
      </c>
      <c r="G2030" s="16" t="n">
        <f aca="false">ROUND(E2030+F2030,2)</f>
        <v>382327.4</v>
      </c>
    </row>
    <row r="2031" customFormat="false" ht="15" hidden="false" customHeight="false" outlineLevel="0" collapsed="false">
      <c r="A2031" s="14" t="s">
        <v>23</v>
      </c>
      <c r="B2031" s="14" t="n">
        <v>2021</v>
      </c>
      <c r="C2031" s="14" t="n">
        <v>6</v>
      </c>
      <c r="D2031" s="14" t="s">
        <v>55</v>
      </c>
      <c r="E2031" s="15" t="n">
        <v>283886.7</v>
      </c>
      <c r="F2031" s="15" t="n">
        <v>166827.61</v>
      </c>
      <c r="G2031" s="16" t="n">
        <f aca="false">ROUND(E2031+F2031,2)</f>
        <v>450714.31</v>
      </c>
    </row>
    <row r="2032" customFormat="false" ht="15" hidden="false" customHeight="false" outlineLevel="0" collapsed="false">
      <c r="A2032" s="14" t="s">
        <v>23</v>
      </c>
      <c r="B2032" s="14" t="n">
        <v>2021</v>
      </c>
      <c r="C2032" s="14" t="n">
        <v>7</v>
      </c>
      <c r="D2032" s="14" t="s">
        <v>56</v>
      </c>
      <c r="E2032" s="15" t="n">
        <v>305181.6</v>
      </c>
      <c r="F2032" s="15" t="n">
        <v>179272.03</v>
      </c>
      <c r="G2032" s="16" t="n">
        <f aca="false">ROUND(E2032+F2032,2)</f>
        <v>484453.63</v>
      </c>
    </row>
    <row r="2033" customFormat="false" ht="15" hidden="false" customHeight="false" outlineLevel="0" collapsed="false">
      <c r="A2033" s="14" t="s">
        <v>23</v>
      </c>
      <c r="B2033" s="14" t="n">
        <v>2021</v>
      </c>
      <c r="C2033" s="14" t="n">
        <v>8</v>
      </c>
      <c r="D2033" s="14" t="s">
        <v>57</v>
      </c>
      <c r="E2033" s="15" t="n">
        <v>271416.18</v>
      </c>
      <c r="F2033" s="15" t="n">
        <v>154377.82</v>
      </c>
      <c r="G2033" s="16" t="n">
        <f aca="false">ROUND(E2033+F2033,2)</f>
        <v>425794</v>
      </c>
    </row>
    <row r="2034" customFormat="false" ht="15" hidden="false" customHeight="false" outlineLevel="0" collapsed="false">
      <c r="A2034" s="14" t="s">
        <v>23</v>
      </c>
      <c r="B2034" s="14" t="n">
        <v>2021</v>
      </c>
      <c r="C2034" s="14" t="n">
        <v>9</v>
      </c>
      <c r="D2034" s="14" t="s">
        <v>58</v>
      </c>
      <c r="E2034" s="15" t="n">
        <v>290949.61</v>
      </c>
      <c r="F2034" s="15" t="n">
        <v>149811.58</v>
      </c>
      <c r="G2034" s="16" t="n">
        <f aca="false">ROUND(E2034+F2034,2)</f>
        <v>440761.19</v>
      </c>
    </row>
    <row r="2035" customFormat="false" ht="15" hidden="false" customHeight="false" outlineLevel="0" collapsed="false">
      <c r="A2035" s="14" t="s">
        <v>23</v>
      </c>
      <c r="B2035" s="14" t="n">
        <v>2021</v>
      </c>
      <c r="C2035" s="14" t="n">
        <v>10</v>
      </c>
      <c r="D2035" s="14" t="s">
        <v>59</v>
      </c>
      <c r="E2035" s="15" t="n">
        <v>270748.38</v>
      </c>
      <c r="F2035" s="15" t="n">
        <v>157191.55</v>
      </c>
      <c r="G2035" s="16" t="n">
        <f aca="false">ROUND(E2035+F2035,2)</f>
        <v>427939.93</v>
      </c>
    </row>
    <row r="2036" customFormat="false" ht="15" hidden="false" customHeight="false" outlineLevel="0" collapsed="false">
      <c r="A2036" s="14" t="s">
        <v>23</v>
      </c>
      <c r="B2036" s="14" t="n">
        <v>2021</v>
      </c>
      <c r="C2036" s="14" t="n">
        <v>11</v>
      </c>
      <c r="D2036" s="14" t="s">
        <v>60</v>
      </c>
      <c r="E2036" s="15" t="n">
        <v>277374.71</v>
      </c>
      <c r="F2036" s="15" t="n">
        <v>141425.46</v>
      </c>
      <c r="G2036" s="16" t="n">
        <f aca="false">ROUND(E2036+F2036,2)</f>
        <v>418800.17</v>
      </c>
    </row>
    <row r="2037" customFormat="false" ht="15" hidden="false" customHeight="false" outlineLevel="0" collapsed="false">
      <c r="A2037" s="14" t="s">
        <v>23</v>
      </c>
      <c r="B2037" s="14" t="n">
        <v>2021</v>
      </c>
      <c r="C2037" s="14" t="n">
        <v>12</v>
      </c>
      <c r="D2037" s="14" t="s">
        <v>61</v>
      </c>
      <c r="E2037" s="15" t="n">
        <v>285989.21</v>
      </c>
      <c r="F2037" s="15" t="n">
        <v>163054.14</v>
      </c>
      <c r="G2037" s="16" t="n">
        <f aca="false">ROUND(E2037+F2037,2)</f>
        <v>449043.35</v>
      </c>
    </row>
    <row r="2038" customFormat="false" ht="15" hidden="false" customHeight="false" outlineLevel="0" collapsed="false">
      <c r="A2038" s="14" t="s">
        <v>23</v>
      </c>
      <c r="B2038" s="14" t="n">
        <v>2022</v>
      </c>
      <c r="C2038" s="14" t="n">
        <v>1</v>
      </c>
      <c r="D2038" s="14" t="s">
        <v>50</v>
      </c>
      <c r="E2038" s="15" t="n">
        <v>303305.96</v>
      </c>
      <c r="F2038" s="15" t="n">
        <v>132544</v>
      </c>
      <c r="G2038" s="16" t="n">
        <f aca="false">ROUND(E2038+F2038,2)</f>
        <v>435849.96</v>
      </c>
    </row>
    <row r="2039" customFormat="false" ht="15" hidden="false" customHeight="false" outlineLevel="0" collapsed="false">
      <c r="A2039" s="14" t="s">
        <v>23</v>
      </c>
      <c r="B2039" s="14" t="n">
        <v>2022</v>
      </c>
      <c r="C2039" s="14" t="n">
        <v>2</v>
      </c>
      <c r="D2039" s="14" t="s">
        <v>51</v>
      </c>
      <c r="E2039" s="15" t="n">
        <v>298494.29</v>
      </c>
      <c r="F2039" s="15" t="n">
        <v>155665.97</v>
      </c>
      <c r="G2039" s="16" t="n">
        <f aca="false">ROUND(E2039+F2039,2)</f>
        <v>454160.26</v>
      </c>
    </row>
    <row r="2040" customFormat="false" ht="15" hidden="false" customHeight="false" outlineLevel="0" collapsed="false">
      <c r="A2040" s="14" t="s">
        <v>23</v>
      </c>
      <c r="B2040" s="14" t="n">
        <v>2022</v>
      </c>
      <c r="C2040" s="14" t="n">
        <v>3</v>
      </c>
      <c r="D2040" s="14" t="s">
        <v>52</v>
      </c>
      <c r="E2040" s="15" t="n">
        <v>348703.13</v>
      </c>
      <c r="F2040" s="15" t="n">
        <v>158404.9</v>
      </c>
      <c r="G2040" s="16" t="n">
        <f aca="false">ROUND(E2040+F2040,2)</f>
        <v>507108.03</v>
      </c>
    </row>
    <row r="2041" customFormat="false" ht="15" hidden="false" customHeight="false" outlineLevel="0" collapsed="false">
      <c r="A2041" s="14" t="s">
        <v>23</v>
      </c>
      <c r="B2041" s="14" t="n">
        <v>2022</v>
      </c>
      <c r="C2041" s="14" t="n">
        <v>4</v>
      </c>
      <c r="D2041" s="14" t="s">
        <v>53</v>
      </c>
      <c r="E2041" s="15" t="n">
        <v>301807.79</v>
      </c>
      <c r="F2041" s="15" t="n">
        <v>157118.35</v>
      </c>
      <c r="G2041" s="16" t="n">
        <f aca="false">ROUND(E2041+F2041,2)</f>
        <v>458926.14</v>
      </c>
    </row>
    <row r="2042" customFormat="false" ht="15" hidden="false" customHeight="false" outlineLevel="0" collapsed="false">
      <c r="A2042" s="14" t="s">
        <v>23</v>
      </c>
      <c r="B2042" s="14" t="n">
        <v>2022</v>
      </c>
      <c r="C2042" s="14" t="n">
        <v>5</v>
      </c>
      <c r="D2042" s="14" t="s">
        <v>54</v>
      </c>
      <c r="E2042" s="15" t="n">
        <v>268696.16</v>
      </c>
      <c r="F2042" s="15" t="n">
        <v>135681.25</v>
      </c>
      <c r="G2042" s="16" t="n">
        <f aca="false">ROUND(E2042+F2042,2)</f>
        <v>404377.41</v>
      </c>
    </row>
    <row r="2043" customFormat="false" ht="15" hidden="false" customHeight="false" outlineLevel="0" collapsed="false">
      <c r="A2043" s="14" t="s">
        <v>23</v>
      </c>
      <c r="B2043" s="14" t="n">
        <v>2022</v>
      </c>
      <c r="C2043" s="14" t="n">
        <v>6</v>
      </c>
      <c r="D2043" s="14" t="s">
        <v>55</v>
      </c>
      <c r="E2043" s="15" t="n">
        <v>322566.58</v>
      </c>
      <c r="F2043" s="15" t="n">
        <v>157989.08</v>
      </c>
      <c r="G2043" s="16" t="n">
        <f aca="false">ROUND(E2043+F2043,2)</f>
        <v>480555.66</v>
      </c>
    </row>
    <row r="2044" customFormat="false" ht="15" hidden="false" customHeight="false" outlineLevel="0" collapsed="false">
      <c r="A2044" s="14" t="s">
        <v>23</v>
      </c>
      <c r="B2044" s="14" t="n">
        <v>2022</v>
      </c>
      <c r="C2044" s="14" t="n">
        <v>7</v>
      </c>
      <c r="D2044" s="14" t="s">
        <v>56</v>
      </c>
      <c r="E2044" s="15" t="n">
        <v>333787.3</v>
      </c>
      <c r="F2044" s="15" t="n">
        <v>166058.67</v>
      </c>
      <c r="G2044" s="16" t="n">
        <f aca="false">ROUND(E2044+F2044,2)</f>
        <v>499845.97</v>
      </c>
    </row>
    <row r="2045" customFormat="false" ht="15" hidden="false" customHeight="false" outlineLevel="0" collapsed="false">
      <c r="A2045" s="14" t="s">
        <v>23</v>
      </c>
      <c r="B2045" s="14" t="n">
        <v>2022</v>
      </c>
      <c r="C2045" s="14" t="n">
        <v>8</v>
      </c>
      <c r="D2045" s="14" t="s">
        <v>57</v>
      </c>
      <c r="E2045" s="15" t="n">
        <v>355549.76</v>
      </c>
      <c r="F2045" s="15" t="n">
        <v>234188.62</v>
      </c>
      <c r="G2045" s="16" t="n">
        <f aca="false">ROUND(E2045+F2045,2)</f>
        <v>589738.38</v>
      </c>
    </row>
    <row r="2046" customFormat="false" ht="15" hidden="false" customHeight="false" outlineLevel="0" collapsed="false">
      <c r="A2046" s="14" t="s">
        <v>23</v>
      </c>
      <c r="B2046" s="14" t="n">
        <v>2022</v>
      </c>
      <c r="C2046" s="14" t="n">
        <v>9</v>
      </c>
      <c r="D2046" s="14" t="s">
        <v>58</v>
      </c>
      <c r="E2046" s="15" t="n">
        <v>306821.85</v>
      </c>
      <c r="F2046" s="15" t="n">
        <v>172521.51</v>
      </c>
      <c r="G2046" s="16" t="n">
        <f aca="false">ROUND(E2046+F2046,2)</f>
        <v>479343.36</v>
      </c>
    </row>
    <row r="2047" customFormat="false" ht="15" hidden="false" customHeight="false" outlineLevel="0" collapsed="false">
      <c r="A2047" s="14" t="s">
        <v>23</v>
      </c>
      <c r="B2047" s="14" t="n">
        <v>2022</v>
      </c>
      <c r="C2047" s="14" t="n">
        <v>10</v>
      </c>
      <c r="D2047" s="14" t="s">
        <v>59</v>
      </c>
      <c r="E2047" s="15" t="n">
        <v>284952.24</v>
      </c>
      <c r="F2047" s="15" t="n">
        <v>165489.5</v>
      </c>
      <c r="G2047" s="16" t="n">
        <f aca="false">ROUND(E2047+F2047,2)</f>
        <v>450441.74</v>
      </c>
    </row>
    <row r="2048" customFormat="false" ht="15" hidden="false" customHeight="false" outlineLevel="0" collapsed="false">
      <c r="A2048" s="14" t="s">
        <v>23</v>
      </c>
      <c r="B2048" s="14" t="n">
        <v>2022</v>
      </c>
      <c r="C2048" s="14" t="n">
        <v>11</v>
      </c>
      <c r="D2048" s="14" t="s">
        <v>60</v>
      </c>
      <c r="E2048" s="15" t="n">
        <v>287286.47</v>
      </c>
      <c r="F2048" s="15" t="n">
        <v>154636.49</v>
      </c>
      <c r="G2048" s="16" t="n">
        <f aca="false">ROUND(E2048+F2048,2)</f>
        <v>441922.96</v>
      </c>
    </row>
    <row r="2049" customFormat="false" ht="15" hidden="false" customHeight="false" outlineLevel="0" collapsed="false">
      <c r="A2049" s="14" t="s">
        <v>23</v>
      </c>
      <c r="B2049" s="14" t="n">
        <v>2022</v>
      </c>
      <c r="C2049" s="14" t="n">
        <v>12</v>
      </c>
      <c r="D2049" s="14" t="s">
        <v>61</v>
      </c>
      <c r="E2049" s="15" t="n">
        <v>343887.3</v>
      </c>
      <c r="F2049" s="15" t="n">
        <v>198788.33</v>
      </c>
      <c r="G2049" s="16" t="n">
        <f aca="false">ROUND(E2049+F2049,2)</f>
        <v>542675.63</v>
      </c>
    </row>
    <row r="2050" customFormat="false" ht="15" hidden="false" customHeight="false" outlineLevel="0" collapsed="false">
      <c r="A2050" s="14" t="s">
        <v>23</v>
      </c>
      <c r="B2050" s="14" t="n">
        <v>2023</v>
      </c>
      <c r="C2050" s="14" t="n">
        <v>1</v>
      </c>
      <c r="D2050" s="14" t="s">
        <v>50</v>
      </c>
      <c r="E2050" s="15" t="n">
        <v>317033.19</v>
      </c>
      <c r="F2050" s="15" t="n">
        <v>152844.52</v>
      </c>
      <c r="G2050" s="16" t="n">
        <f aca="false">ROUND(E2050+F2050,2)</f>
        <v>469877.71</v>
      </c>
    </row>
    <row r="2051" customFormat="false" ht="15" hidden="false" customHeight="false" outlineLevel="0" collapsed="false">
      <c r="A2051" s="14" t="s">
        <v>23</v>
      </c>
      <c r="B2051" s="14" t="n">
        <v>2023</v>
      </c>
      <c r="C2051" s="14" t="n">
        <v>2</v>
      </c>
      <c r="D2051" s="14" t="s">
        <v>51</v>
      </c>
      <c r="E2051" s="15" t="n">
        <v>287816.06</v>
      </c>
      <c r="F2051" s="15" t="n">
        <v>144971.24</v>
      </c>
      <c r="G2051" s="16" t="n">
        <f aca="false">ROUND(E2051+F2051,2)</f>
        <v>432787.3</v>
      </c>
    </row>
    <row r="2052" customFormat="false" ht="15" hidden="false" customHeight="false" outlineLevel="0" collapsed="false">
      <c r="A2052" s="14" t="s">
        <v>23</v>
      </c>
      <c r="B2052" s="14" t="n">
        <v>2023</v>
      </c>
      <c r="C2052" s="14" t="n">
        <v>3</v>
      </c>
      <c r="D2052" s="14" t="s">
        <v>52</v>
      </c>
      <c r="E2052" s="15" t="n">
        <v>312855.83</v>
      </c>
      <c r="F2052" s="15" t="n">
        <v>148442.98</v>
      </c>
      <c r="G2052" s="16" t="n">
        <f aca="false">ROUND(E2052+F2052,2)</f>
        <v>461298.81</v>
      </c>
    </row>
    <row r="2053" customFormat="false" ht="15" hidden="false" customHeight="false" outlineLevel="0" collapsed="false">
      <c r="A2053" s="14" t="s">
        <v>23</v>
      </c>
      <c r="B2053" s="14" t="n">
        <v>2023</v>
      </c>
      <c r="C2053" s="14" t="n">
        <v>4</v>
      </c>
      <c r="D2053" s="14" t="s">
        <v>53</v>
      </c>
      <c r="E2053" s="15" t="n">
        <v>321346.3</v>
      </c>
      <c r="F2053" s="15" t="n">
        <v>163853.96</v>
      </c>
      <c r="G2053" s="16" t="n">
        <f aca="false">ROUND(E2053+F2053,2)</f>
        <v>485200.26</v>
      </c>
    </row>
    <row r="2054" customFormat="false" ht="15" hidden="false" customHeight="false" outlineLevel="0" collapsed="false">
      <c r="A2054" s="14" t="s">
        <v>23</v>
      </c>
      <c r="B2054" s="14" t="n">
        <v>2023</v>
      </c>
      <c r="C2054" s="14" t="n">
        <v>5</v>
      </c>
      <c r="D2054" s="14" t="s">
        <v>54</v>
      </c>
      <c r="E2054" s="15" t="n">
        <v>313563.57</v>
      </c>
      <c r="F2054" s="15" t="n">
        <v>146370.99</v>
      </c>
      <c r="G2054" s="16" t="n">
        <f aca="false">ROUND(E2054+F2054,2)</f>
        <v>459934.56</v>
      </c>
    </row>
    <row r="2055" customFormat="false" ht="15" hidden="false" customHeight="false" outlineLevel="0" collapsed="false">
      <c r="A2055" s="14" t="s">
        <v>23</v>
      </c>
      <c r="B2055" s="14" t="n">
        <v>2023</v>
      </c>
      <c r="C2055" s="14" t="n">
        <v>6</v>
      </c>
      <c r="D2055" s="14" t="s">
        <v>55</v>
      </c>
      <c r="E2055" s="15" t="n">
        <v>356851.37</v>
      </c>
      <c r="F2055" s="15" t="n">
        <v>172350.6</v>
      </c>
      <c r="G2055" s="16" t="n">
        <f aca="false">ROUND(E2055+F2055,2)</f>
        <v>529201.97</v>
      </c>
    </row>
    <row r="2056" customFormat="false" ht="15" hidden="false" customHeight="false" outlineLevel="0" collapsed="false">
      <c r="A2056" s="14" t="s">
        <v>23</v>
      </c>
      <c r="B2056" s="14" t="n">
        <v>2023</v>
      </c>
      <c r="C2056" s="14" t="n">
        <v>7</v>
      </c>
      <c r="D2056" s="14" t="s">
        <v>56</v>
      </c>
      <c r="E2056" s="15" t="n">
        <v>354683.44</v>
      </c>
      <c r="F2056" s="15" t="n">
        <v>157284.53</v>
      </c>
      <c r="G2056" s="16" t="n">
        <f aca="false">ROUND(E2056+F2056,2)</f>
        <v>511967.97</v>
      </c>
    </row>
    <row r="2057" customFormat="false" ht="15" hidden="false" customHeight="false" outlineLevel="0" collapsed="false">
      <c r="A2057" s="14" t="s">
        <v>23</v>
      </c>
      <c r="B2057" s="14" t="n">
        <v>2023</v>
      </c>
      <c r="C2057" s="14" t="n">
        <v>8</v>
      </c>
      <c r="D2057" s="14" t="s">
        <v>57</v>
      </c>
      <c r="E2057" s="15" t="n">
        <v>408892.89</v>
      </c>
      <c r="F2057" s="15" t="n">
        <v>197153.01</v>
      </c>
      <c r="G2057" s="16" t="n">
        <f aca="false">ROUND(E2057+F2057,2)</f>
        <v>606045.9</v>
      </c>
    </row>
    <row r="2058" customFormat="false" ht="15" hidden="false" customHeight="false" outlineLevel="0" collapsed="false">
      <c r="A2058" s="14" t="s">
        <v>23</v>
      </c>
      <c r="B2058" s="14" t="n">
        <v>2023</v>
      </c>
      <c r="C2058" s="14" t="n">
        <v>9</v>
      </c>
      <c r="D2058" s="14" t="s">
        <v>58</v>
      </c>
      <c r="E2058" s="15" t="n">
        <v>291269.74</v>
      </c>
      <c r="F2058" s="15" t="n">
        <v>155777.4</v>
      </c>
      <c r="G2058" s="16" t="n">
        <f aca="false">ROUND(E2058+F2058,2)</f>
        <v>447047.14</v>
      </c>
    </row>
    <row r="2059" customFormat="false" ht="15" hidden="false" customHeight="false" outlineLevel="0" collapsed="false">
      <c r="A2059" s="14" t="s">
        <v>23</v>
      </c>
      <c r="B2059" s="14" t="n">
        <v>2023</v>
      </c>
      <c r="C2059" s="14" t="n">
        <v>10</v>
      </c>
      <c r="D2059" s="14" t="s">
        <v>59</v>
      </c>
      <c r="E2059" s="15" t="n">
        <v>346524.75</v>
      </c>
      <c r="F2059" s="15" t="n">
        <v>154337.33</v>
      </c>
      <c r="G2059" s="16" t="n">
        <f aca="false">ROUND(E2059+F2059,2)</f>
        <v>500862.08</v>
      </c>
    </row>
    <row r="2060" customFormat="false" ht="15" hidden="false" customHeight="false" outlineLevel="0" collapsed="false">
      <c r="A2060" s="14" t="s">
        <v>23</v>
      </c>
      <c r="B2060" s="14" t="n">
        <v>2023</v>
      </c>
      <c r="C2060" s="14" t="n">
        <v>11</v>
      </c>
      <c r="D2060" s="14" t="s">
        <v>60</v>
      </c>
      <c r="E2060" s="15" t="n">
        <v>282013.51</v>
      </c>
      <c r="F2060" s="15" t="n">
        <v>155451.51</v>
      </c>
      <c r="G2060" s="16" t="n">
        <f aca="false">ROUND(E2060+F2060,2)</f>
        <v>437465.02</v>
      </c>
    </row>
    <row r="2061" customFormat="false" ht="15" hidden="false" customHeight="false" outlineLevel="0" collapsed="false">
      <c r="A2061" s="14" t="s">
        <v>23</v>
      </c>
      <c r="B2061" s="14" t="n">
        <v>2023</v>
      </c>
      <c r="C2061" s="14" t="n">
        <v>12</v>
      </c>
      <c r="D2061" s="14" t="s">
        <v>61</v>
      </c>
      <c r="E2061" s="15" t="n">
        <v>314872.56</v>
      </c>
      <c r="F2061" s="15" t="n">
        <v>168966.99</v>
      </c>
      <c r="G2061" s="16" t="n">
        <f aca="false">ROUND(E2061+F2061,2)</f>
        <v>483839.55</v>
      </c>
    </row>
    <row r="2062" customFormat="false" ht="15" hidden="false" customHeight="false" outlineLevel="0" collapsed="false">
      <c r="A2062" s="14" t="s">
        <v>23</v>
      </c>
      <c r="B2062" s="14" t="n">
        <v>2024</v>
      </c>
      <c r="C2062" s="14" t="n">
        <v>1</v>
      </c>
      <c r="D2062" s="14" t="s">
        <v>50</v>
      </c>
      <c r="E2062" s="15" t="n">
        <v>341409.23</v>
      </c>
      <c r="F2062" s="15" t="n">
        <v>163121.47</v>
      </c>
      <c r="G2062" s="16" t="n">
        <f aca="false">ROUND(E2062+F2062,2)</f>
        <v>504530.7</v>
      </c>
    </row>
    <row r="2063" customFormat="false" ht="15" hidden="false" customHeight="false" outlineLevel="0" collapsed="false">
      <c r="A2063" s="14" t="s">
        <v>23</v>
      </c>
      <c r="B2063" s="14" t="n">
        <v>2024</v>
      </c>
      <c r="C2063" s="14" t="n">
        <v>2</v>
      </c>
      <c r="D2063" s="14" t="s">
        <v>51</v>
      </c>
      <c r="E2063" s="15" t="n">
        <v>308616.89</v>
      </c>
      <c r="F2063" s="15" t="n">
        <v>168054.22</v>
      </c>
      <c r="G2063" s="16" t="n">
        <f aca="false">ROUND(E2063+F2063,2)</f>
        <v>476671.11</v>
      </c>
    </row>
    <row r="2064" customFormat="false" ht="15" hidden="false" customHeight="false" outlineLevel="0" collapsed="false">
      <c r="A2064" s="14" t="s">
        <v>23</v>
      </c>
      <c r="B2064" s="14" t="n">
        <v>2024</v>
      </c>
      <c r="C2064" s="14" t="n">
        <v>3</v>
      </c>
      <c r="D2064" s="14" t="s">
        <v>52</v>
      </c>
      <c r="E2064" s="15" t="n">
        <v>335383.61</v>
      </c>
      <c r="F2064" s="15" t="n">
        <v>149386.21</v>
      </c>
      <c r="G2064" s="16" t="n">
        <f aca="false">ROUND(E2064+F2064,2)</f>
        <v>484769.82</v>
      </c>
    </row>
    <row r="2065" customFormat="false" ht="15" hidden="false" customHeight="false" outlineLevel="0" collapsed="false">
      <c r="A2065" s="14" t="s">
        <v>23</v>
      </c>
      <c r="B2065" s="14" t="n">
        <v>2024</v>
      </c>
      <c r="C2065" s="14" t="n">
        <v>4</v>
      </c>
      <c r="D2065" s="14" t="s">
        <v>53</v>
      </c>
      <c r="E2065" s="15" t="n">
        <v>346256.65</v>
      </c>
      <c r="F2065" s="15" t="n">
        <v>149072.39</v>
      </c>
      <c r="G2065" s="16" t="n">
        <f aca="false">ROUND(E2065+F2065,2)</f>
        <v>495329.04</v>
      </c>
    </row>
    <row r="2066" customFormat="false" ht="15" hidden="false" customHeight="false" outlineLevel="0" collapsed="false">
      <c r="A2066" s="14" t="s">
        <v>23</v>
      </c>
      <c r="B2066" s="14" t="n">
        <v>2024</v>
      </c>
      <c r="C2066" s="14" t="n">
        <v>5</v>
      </c>
      <c r="D2066" s="14" t="s">
        <v>54</v>
      </c>
      <c r="E2066" s="15" t="n">
        <v>348059.96</v>
      </c>
      <c r="F2066" s="15" t="n">
        <v>157343.49</v>
      </c>
      <c r="G2066" s="16" t="n">
        <f aca="false">ROUND(E2066+F2066,2)</f>
        <v>505403.45</v>
      </c>
    </row>
    <row r="2067" customFormat="false" ht="15" hidden="false" customHeight="false" outlineLevel="0" collapsed="false">
      <c r="A2067" s="14" t="s">
        <v>23</v>
      </c>
      <c r="B2067" s="14" t="n">
        <v>2024</v>
      </c>
      <c r="C2067" s="14" t="n">
        <v>6</v>
      </c>
      <c r="D2067" s="14" t="s">
        <v>55</v>
      </c>
      <c r="E2067" s="15" t="n">
        <v>188975.64</v>
      </c>
      <c r="F2067" s="15" t="n">
        <v>81975.96</v>
      </c>
      <c r="G2067" s="16" t="n">
        <f aca="false">ROUND(E2067+F2067,2)</f>
        <v>270951.6</v>
      </c>
    </row>
    <row r="2068" customFormat="false" ht="15" hidden="false" customHeight="false" outlineLevel="0" collapsed="false">
      <c r="A2068" s="14" t="s">
        <v>23</v>
      </c>
      <c r="B2068" s="14" t="n">
        <v>2024</v>
      </c>
      <c r="C2068" s="14" t="n">
        <v>7</v>
      </c>
      <c r="D2068" s="14" t="s">
        <v>56</v>
      </c>
      <c r="E2068" s="15" t="n">
        <v>328260.47</v>
      </c>
      <c r="F2068" s="15" t="n">
        <v>148885.19</v>
      </c>
      <c r="G2068" s="16" t="n">
        <f aca="false">ROUND(E2068+F2068,2)</f>
        <v>477145.66</v>
      </c>
    </row>
    <row r="2069" customFormat="false" ht="15" hidden="false" customHeight="false" outlineLevel="0" collapsed="false">
      <c r="A2069" s="14" t="s">
        <v>23</v>
      </c>
      <c r="B2069" s="14" t="n">
        <v>2024</v>
      </c>
      <c r="C2069" s="14" t="n">
        <v>8</v>
      </c>
      <c r="D2069" s="14" t="s">
        <v>57</v>
      </c>
      <c r="E2069" s="15" t="n">
        <v>357140.42</v>
      </c>
      <c r="F2069" s="15" t="n">
        <v>162099.68</v>
      </c>
      <c r="G2069" s="16" t="n">
        <f aca="false">ROUND(E2069+F2069,2)</f>
        <v>519240.1</v>
      </c>
    </row>
    <row r="2070" customFormat="false" ht="15" hidden="false" customHeight="false" outlineLevel="0" collapsed="false">
      <c r="A2070" s="14" t="s">
        <v>23</v>
      </c>
      <c r="B2070" s="14" t="n">
        <v>2024</v>
      </c>
      <c r="C2070" s="14" t="n">
        <v>9</v>
      </c>
      <c r="D2070" s="14" t="s">
        <v>58</v>
      </c>
      <c r="E2070" s="15" t="n">
        <v>332627.29</v>
      </c>
      <c r="F2070" s="15" t="n">
        <v>144047.03</v>
      </c>
      <c r="G2070" s="16" t="n">
        <f aca="false">ROUND(E2070+F2070,2)</f>
        <v>476674.32</v>
      </c>
    </row>
    <row r="2071" customFormat="false" ht="15" hidden="false" customHeight="false" outlineLevel="0" collapsed="false">
      <c r="A2071" s="14" t="s">
        <v>23</v>
      </c>
      <c r="B2071" s="14" t="n">
        <v>2024</v>
      </c>
      <c r="C2071" s="14" t="n">
        <v>10</v>
      </c>
      <c r="D2071" s="14" t="s">
        <v>59</v>
      </c>
      <c r="E2071" s="15" t="n">
        <v>344278.69</v>
      </c>
      <c r="F2071" s="15" t="n">
        <v>168153.87</v>
      </c>
      <c r="G2071" s="16" t="n">
        <f aca="false">ROUND(E2071+F2071,2)</f>
        <v>512432.56</v>
      </c>
    </row>
    <row r="2072" customFormat="false" ht="15" hidden="false" customHeight="false" outlineLevel="0" collapsed="false">
      <c r="A2072" s="14" t="s">
        <v>23</v>
      </c>
      <c r="B2072" s="14" t="n">
        <v>2024</v>
      </c>
      <c r="C2072" s="14" t="n">
        <v>11</v>
      </c>
      <c r="D2072" s="14" t="s">
        <v>60</v>
      </c>
      <c r="E2072" s="15" t="n">
        <v>309317.66</v>
      </c>
      <c r="F2072" s="15" t="n">
        <v>124827.11</v>
      </c>
      <c r="G2072" s="16" t="n">
        <f aca="false">ROUND(E2072+F2072,2)</f>
        <v>434144.77</v>
      </c>
    </row>
    <row r="2073" customFormat="false" ht="15" hidden="false" customHeight="false" outlineLevel="0" collapsed="false">
      <c r="A2073" s="14" t="s">
        <v>23</v>
      </c>
      <c r="B2073" s="14" t="n">
        <v>2024</v>
      </c>
      <c r="C2073" s="14" t="n">
        <v>12</v>
      </c>
      <c r="D2073" s="14" t="s">
        <v>61</v>
      </c>
      <c r="E2073" s="15" t="n">
        <v>381730.34</v>
      </c>
      <c r="F2073" s="15" t="n">
        <v>141779.55</v>
      </c>
      <c r="G2073" s="16" t="n">
        <f aca="false">ROUND(E2073+F2073,2)</f>
        <v>523509.89</v>
      </c>
    </row>
    <row r="2074" customFormat="false" ht="15" hidden="false" customHeight="false" outlineLevel="0" collapsed="false">
      <c r="A2074" s="14" t="s">
        <v>23</v>
      </c>
      <c r="B2074" s="14" t="n">
        <v>2025</v>
      </c>
      <c r="C2074" s="14" t="n">
        <v>1</v>
      </c>
      <c r="D2074" s="14" t="s">
        <v>50</v>
      </c>
      <c r="E2074" s="15" t="n">
        <v>391793.32</v>
      </c>
      <c r="F2074" s="15" t="n">
        <v>156623.96</v>
      </c>
      <c r="G2074" s="16" t="n">
        <f aca="false">ROUND(E2074+F2074,2)</f>
        <v>548417.28</v>
      </c>
    </row>
    <row r="2075" customFormat="false" ht="15" hidden="false" customHeight="false" outlineLevel="0" collapsed="false">
      <c r="A2075" s="14" t="s">
        <v>23</v>
      </c>
      <c r="B2075" s="14" t="n">
        <v>2025</v>
      </c>
      <c r="C2075" s="14" t="n">
        <v>2</v>
      </c>
      <c r="D2075" s="14" t="s">
        <v>51</v>
      </c>
      <c r="E2075" s="15" t="n">
        <v>381151.32</v>
      </c>
      <c r="F2075" s="15" t="n">
        <v>164123.34</v>
      </c>
      <c r="G2075" s="16" t="n">
        <f aca="false">ROUND(E2075+F2075,2)</f>
        <v>545274.66</v>
      </c>
    </row>
    <row r="2076" customFormat="false" ht="15" hidden="false" customHeight="false" outlineLevel="0" collapsed="false">
      <c r="A2076" s="14" t="s">
        <v>23</v>
      </c>
      <c r="B2076" s="14" t="n">
        <v>2025</v>
      </c>
      <c r="C2076" s="14" t="n">
        <v>3</v>
      </c>
      <c r="D2076" s="14" t="s">
        <v>52</v>
      </c>
      <c r="E2076" s="15" t="n">
        <v>436075.66</v>
      </c>
      <c r="F2076" s="15" t="n">
        <v>169536.33</v>
      </c>
      <c r="G2076" s="16" t="n">
        <f aca="false">ROUND(E2076+F2076,2)</f>
        <v>605611.99</v>
      </c>
    </row>
    <row r="2077" customFormat="false" ht="15" hidden="false" customHeight="false" outlineLevel="0" collapsed="false">
      <c r="A2077" s="14" t="s">
        <v>23</v>
      </c>
      <c r="B2077" s="14" t="n">
        <v>2025</v>
      </c>
      <c r="C2077" s="14" t="n">
        <v>4</v>
      </c>
      <c r="D2077" s="14" t="s">
        <v>53</v>
      </c>
      <c r="E2077" s="15" t="n">
        <v>404816.51</v>
      </c>
      <c r="F2077" s="15" t="n">
        <v>137439.72</v>
      </c>
      <c r="G2077" s="16" t="n">
        <f aca="false">ROUND(E2077+F2077,2)</f>
        <v>542256.23</v>
      </c>
    </row>
    <row r="2078" customFormat="false" ht="15" hidden="false" customHeight="false" outlineLevel="0" collapsed="false">
      <c r="A2078" s="14" t="s">
        <v>23</v>
      </c>
      <c r="B2078" s="14" t="n">
        <v>2025</v>
      </c>
      <c r="C2078" s="14" t="n">
        <v>5</v>
      </c>
      <c r="D2078" s="14" t="s">
        <v>54</v>
      </c>
      <c r="E2078" s="15" t="n">
        <v>482371.2</v>
      </c>
      <c r="F2078" s="15" t="n">
        <v>196247.77</v>
      </c>
      <c r="G2078" s="16" t="n">
        <f aca="false">ROUND(E2078+F2078,2)</f>
        <v>678618.97</v>
      </c>
    </row>
    <row r="2079" customFormat="false" ht="15" hidden="false" customHeight="false" outlineLevel="0" collapsed="false">
      <c r="A2079" s="14" t="s">
        <v>23</v>
      </c>
      <c r="B2079" s="14" t="n">
        <v>2025</v>
      </c>
      <c r="C2079" s="14" t="n">
        <v>6</v>
      </c>
      <c r="D2079" s="14" t="s">
        <v>55</v>
      </c>
      <c r="E2079" s="15" t="n">
        <v>481502.62</v>
      </c>
      <c r="F2079" s="15" t="n">
        <v>181484.36</v>
      </c>
      <c r="G2079" s="16" t="n">
        <f aca="false">ROUND(E2079+F2079,2)</f>
        <v>662986.98</v>
      </c>
    </row>
    <row r="2080" customFormat="false" ht="15" hidden="false" customHeight="false" outlineLevel="0" collapsed="false">
      <c r="A2080" s="14" t="s">
        <v>23</v>
      </c>
      <c r="B2080" s="14" t="n">
        <v>2025</v>
      </c>
      <c r="C2080" s="14" t="n">
        <v>7</v>
      </c>
      <c r="D2080" s="14" t="s">
        <v>56</v>
      </c>
      <c r="E2080" s="15" t="n">
        <v>517873.69</v>
      </c>
      <c r="F2080" s="15" t="n">
        <v>157661.54</v>
      </c>
      <c r="G2080" s="16" t="n">
        <f aca="false">ROUND(E2080+F2080,2)</f>
        <v>675535.23</v>
      </c>
    </row>
    <row r="2081" customFormat="false" ht="15" hidden="false" customHeight="false" outlineLevel="0" collapsed="false">
      <c r="A2081" s="14" t="s">
        <v>23</v>
      </c>
      <c r="B2081" s="14" t="n">
        <v>2025</v>
      </c>
      <c r="C2081" s="14" t="n">
        <v>8</v>
      </c>
      <c r="D2081" s="14" t="s">
        <v>57</v>
      </c>
      <c r="E2081" s="15" t="n">
        <v>518472.34</v>
      </c>
      <c r="F2081" s="15" t="n">
        <v>165895.04</v>
      </c>
      <c r="G2081" s="16" t="n">
        <f aca="false">ROUND(E2081+F2081,2)</f>
        <v>684367.38</v>
      </c>
    </row>
    <row r="2082" customFormat="false" ht="15" hidden="false" customHeight="false" outlineLevel="0" collapsed="false">
      <c r="A2082" s="14" t="s">
        <v>23</v>
      </c>
      <c r="B2082" s="14" t="n">
        <v>2025</v>
      </c>
      <c r="C2082" s="14" t="n">
        <v>9</v>
      </c>
      <c r="D2082" s="14" t="s">
        <v>58</v>
      </c>
      <c r="E2082" s="15" t="n">
        <v>435666.96</v>
      </c>
      <c r="F2082" s="15" t="n">
        <v>172757.51</v>
      </c>
      <c r="G2082" s="16" t="n">
        <f aca="false">ROUND(E2082+F2082,2)</f>
        <v>608424.47</v>
      </c>
    </row>
    <row r="2083" customFormat="false" ht="15" hidden="false" customHeight="false" outlineLevel="0" collapsed="false">
      <c r="A2083" s="14" t="s">
        <v>23</v>
      </c>
      <c r="B2083" s="14" t="n">
        <v>2025</v>
      </c>
      <c r="C2083" s="14" t="n">
        <v>10</v>
      </c>
      <c r="D2083" s="14" t="s">
        <v>59</v>
      </c>
      <c r="E2083" s="15" t="n">
        <v>452412.25</v>
      </c>
      <c r="F2083" s="15" t="n">
        <v>165795.41</v>
      </c>
      <c r="G2083" s="16" t="n">
        <f aca="false">ROUND(E2083+F2083,2)</f>
        <v>618207.66</v>
      </c>
    </row>
    <row r="2084" customFormat="false" ht="15" hidden="false" customHeight="false" outlineLevel="0" collapsed="false">
      <c r="A2084" s="14" t="s">
        <v>23</v>
      </c>
      <c r="B2084" s="14" t="n">
        <v>2025</v>
      </c>
      <c r="C2084" s="14" t="n">
        <v>11</v>
      </c>
      <c r="D2084" s="14" t="s">
        <v>60</v>
      </c>
      <c r="E2084" s="15" t="n">
        <v>375225.15</v>
      </c>
      <c r="F2084" s="15" t="n">
        <v>143359.05</v>
      </c>
      <c r="G2084" s="16" t="n">
        <f aca="false">ROUND(E2084+F2084,2)</f>
        <v>518584.2</v>
      </c>
    </row>
    <row r="2085" customFormat="false" ht="15" hidden="false" customHeight="false" outlineLevel="0" collapsed="false">
      <c r="A2085" s="14" t="s">
        <v>23</v>
      </c>
      <c r="B2085" s="14" t="n">
        <v>2025</v>
      </c>
      <c r="C2085" s="14" t="n">
        <v>12</v>
      </c>
      <c r="D2085" s="14" t="s">
        <v>61</v>
      </c>
      <c r="E2085" s="15" t="n">
        <v>401238</v>
      </c>
      <c r="F2085" s="15" t="n">
        <v>155626.94</v>
      </c>
      <c r="G2085" s="16" t="n">
        <f aca="false">ROUND(E2085+F2085,2)</f>
        <v>556864.94</v>
      </c>
    </row>
    <row r="2086" customFormat="false" ht="15" hidden="false" customHeight="false" outlineLevel="0" collapsed="false">
      <c r="A2086" s="14" t="s">
        <v>23</v>
      </c>
      <c r="B2086" s="14" t="n">
        <v>2026</v>
      </c>
      <c r="C2086" s="14" t="n">
        <v>1</v>
      </c>
      <c r="D2086" s="14" t="s">
        <v>50</v>
      </c>
      <c r="E2086" s="15" t="n">
        <v>440569.72</v>
      </c>
      <c r="F2086" s="15" t="n">
        <v>142547.35</v>
      </c>
      <c r="G2086" s="16" t="n">
        <f aca="false">ROUND(E2086+F2086,2)</f>
        <v>583117.07</v>
      </c>
    </row>
    <row r="2087" customFormat="false" ht="15" hidden="false" customHeight="false" outlineLevel="0" collapsed="false">
      <c r="A2087" s="14" t="s">
        <v>23</v>
      </c>
      <c r="B2087" s="14" t="n">
        <v>2026</v>
      </c>
      <c r="C2087" s="14" t="n">
        <v>2</v>
      </c>
      <c r="D2087" s="14" t="s">
        <v>51</v>
      </c>
      <c r="E2087" s="15" t="n">
        <v>353021.73</v>
      </c>
      <c r="F2087" s="15" t="n">
        <v>124061.5</v>
      </c>
      <c r="G2087" s="16" t="n">
        <f aca="false">ROUND(E2087+F2087,2)</f>
        <v>477083.23</v>
      </c>
    </row>
    <row r="2088" customFormat="false" ht="15" hidden="false" customHeight="false" outlineLevel="0" collapsed="false">
      <c r="A2088" s="14" t="s">
        <v>23</v>
      </c>
      <c r="B2088" s="14" t="n">
        <v>2026</v>
      </c>
      <c r="C2088" s="14" t="n">
        <v>3</v>
      </c>
      <c r="D2088" s="14" t="s">
        <v>52</v>
      </c>
      <c r="E2088" s="15" t="n">
        <v>386548.74</v>
      </c>
      <c r="F2088" s="15" t="n">
        <v>128625.05</v>
      </c>
      <c r="G2088" s="16" t="n">
        <f aca="false">ROUND(E2088+F2088,2)</f>
        <v>515173.79</v>
      </c>
    </row>
    <row r="2089" customFormat="false" ht="15" hidden="false" customHeight="false" outlineLevel="0" collapsed="false">
      <c r="A2089" s="14" t="s">
        <v>23</v>
      </c>
      <c r="B2089" s="14" t="n">
        <v>2026</v>
      </c>
      <c r="C2089" s="14" t="n">
        <v>4</v>
      </c>
      <c r="D2089" s="14" t="s">
        <v>53</v>
      </c>
      <c r="E2089" s="15" t="n">
        <v>386837.05</v>
      </c>
      <c r="F2089" s="15" t="n">
        <v>132782.2</v>
      </c>
      <c r="G2089" s="16" t="n">
        <f aca="false">ROUND(E2089+F2089,2)</f>
        <v>519619.25</v>
      </c>
    </row>
    <row r="2090" customFormat="false" ht="15" hidden="false" customHeight="false" outlineLevel="0" collapsed="false">
      <c r="A2090" s="14" t="s">
        <v>23</v>
      </c>
      <c r="B2090" s="14" t="n">
        <v>2026</v>
      </c>
      <c r="C2090" s="14" t="n">
        <v>5</v>
      </c>
      <c r="D2090" s="14" t="s">
        <v>54</v>
      </c>
      <c r="E2090" s="15" t="n">
        <v>393064.84</v>
      </c>
      <c r="F2090" s="15" t="n">
        <v>133308.11</v>
      </c>
      <c r="G2090" s="16" t="n">
        <f aca="false">ROUND(E2090+F2090,2)</f>
        <v>526372.95</v>
      </c>
    </row>
    <row r="2091" customFormat="false" ht="15" hidden="false" customHeight="false" outlineLevel="0" collapsed="false">
      <c r="A2091" s="14" t="s">
        <v>23</v>
      </c>
      <c r="B2091" s="14" t="n">
        <v>2026</v>
      </c>
      <c r="C2091" s="14" t="n">
        <v>6</v>
      </c>
      <c r="D2091" s="14" t="s">
        <v>55</v>
      </c>
      <c r="E2091" s="15" t="n">
        <v>409975.28</v>
      </c>
      <c r="F2091" s="15" t="n">
        <v>152707.41</v>
      </c>
      <c r="G2091" s="16" t="n">
        <f aca="false">ROUND(E2091+F2091,2)</f>
        <v>562682.69</v>
      </c>
    </row>
    <row r="2092" customFormat="false" ht="15" hidden="false" customHeight="false" outlineLevel="0" collapsed="false">
      <c r="A2092" s="14" t="s">
        <v>23</v>
      </c>
      <c r="B2092" s="14" t="n">
        <v>2026</v>
      </c>
      <c r="C2092" s="14" t="n">
        <v>7</v>
      </c>
      <c r="D2092" s="14" t="s">
        <v>56</v>
      </c>
      <c r="E2092" s="15" t="n">
        <v>412383.09</v>
      </c>
      <c r="F2092" s="15" t="n">
        <v>161318.94</v>
      </c>
      <c r="G2092" s="16" t="n">
        <f aca="false">ROUND(E2092+F2092,2)</f>
        <v>573702.03</v>
      </c>
    </row>
    <row r="2093" customFormat="false" ht="15" hidden="false" customHeight="false" outlineLevel="0" collapsed="false">
      <c r="A2093" s="14" t="s">
        <v>41</v>
      </c>
      <c r="B2093" s="14" t="n">
        <v>2021</v>
      </c>
      <c r="C2093" s="14" t="n">
        <v>1</v>
      </c>
      <c r="D2093" s="14" t="s">
        <v>50</v>
      </c>
      <c r="E2093" s="15" t="n">
        <v>51330.52</v>
      </c>
      <c r="F2093" s="15" t="n">
        <v>41771.44</v>
      </c>
      <c r="G2093" s="16" t="n">
        <f aca="false">ROUND(E2093+F2093,2)</f>
        <v>93101.96</v>
      </c>
    </row>
    <row r="2094" customFormat="false" ht="15" hidden="false" customHeight="false" outlineLevel="0" collapsed="false">
      <c r="A2094" s="14" t="s">
        <v>41</v>
      </c>
      <c r="B2094" s="14" t="n">
        <v>2021</v>
      </c>
      <c r="C2094" s="14" t="n">
        <v>2</v>
      </c>
      <c r="D2094" s="14" t="s">
        <v>51</v>
      </c>
      <c r="E2094" s="15" t="n">
        <v>65043.39</v>
      </c>
      <c r="F2094" s="15" t="n">
        <v>45761.75</v>
      </c>
      <c r="G2094" s="16" t="n">
        <f aca="false">ROUND(E2094+F2094,2)</f>
        <v>110805.14</v>
      </c>
    </row>
    <row r="2095" customFormat="false" ht="15" hidden="false" customHeight="false" outlineLevel="0" collapsed="false">
      <c r="A2095" s="14" t="s">
        <v>41</v>
      </c>
      <c r="B2095" s="14" t="n">
        <v>2021</v>
      </c>
      <c r="C2095" s="14" t="n">
        <v>3</v>
      </c>
      <c r="D2095" s="14" t="s">
        <v>52</v>
      </c>
      <c r="E2095" s="15" t="n">
        <v>68740.72</v>
      </c>
      <c r="F2095" s="15" t="n">
        <v>54749.81</v>
      </c>
      <c r="G2095" s="16" t="n">
        <f aca="false">ROUND(E2095+F2095,2)</f>
        <v>123490.53</v>
      </c>
    </row>
    <row r="2096" customFormat="false" ht="15" hidden="false" customHeight="false" outlineLevel="0" collapsed="false">
      <c r="A2096" s="14" t="s">
        <v>41</v>
      </c>
      <c r="B2096" s="14" t="n">
        <v>2021</v>
      </c>
      <c r="C2096" s="14" t="n">
        <v>4</v>
      </c>
      <c r="D2096" s="14" t="s">
        <v>53</v>
      </c>
      <c r="E2096" s="15" t="n">
        <v>78650.47</v>
      </c>
      <c r="F2096" s="15" t="n">
        <v>55268.04</v>
      </c>
      <c r="G2096" s="16" t="n">
        <f aca="false">ROUND(E2096+F2096,2)</f>
        <v>133918.51</v>
      </c>
    </row>
    <row r="2097" customFormat="false" ht="15" hidden="false" customHeight="false" outlineLevel="0" collapsed="false">
      <c r="A2097" s="14" t="s">
        <v>41</v>
      </c>
      <c r="B2097" s="14" t="n">
        <v>2021</v>
      </c>
      <c r="C2097" s="14" t="n">
        <v>5</v>
      </c>
      <c r="D2097" s="14" t="s">
        <v>54</v>
      </c>
      <c r="E2097" s="15" t="n">
        <v>69192.06</v>
      </c>
      <c r="F2097" s="15" t="n">
        <v>46291.24</v>
      </c>
      <c r="G2097" s="16" t="n">
        <f aca="false">ROUND(E2097+F2097,2)</f>
        <v>115483.3</v>
      </c>
    </row>
    <row r="2098" customFormat="false" ht="15" hidden="false" customHeight="false" outlineLevel="0" collapsed="false">
      <c r="A2098" s="14" t="s">
        <v>41</v>
      </c>
      <c r="B2098" s="14" t="n">
        <v>2021</v>
      </c>
      <c r="C2098" s="14" t="n">
        <v>6</v>
      </c>
      <c r="D2098" s="14" t="s">
        <v>55</v>
      </c>
      <c r="E2098" s="15" t="n">
        <v>72007.53</v>
      </c>
      <c r="F2098" s="15" t="n">
        <v>65748.06</v>
      </c>
      <c r="G2098" s="16" t="n">
        <f aca="false">ROUND(E2098+F2098,2)</f>
        <v>137755.59</v>
      </c>
    </row>
    <row r="2099" customFormat="false" ht="15" hidden="false" customHeight="false" outlineLevel="0" collapsed="false">
      <c r="A2099" s="14" t="s">
        <v>41</v>
      </c>
      <c r="B2099" s="14" t="n">
        <v>2021</v>
      </c>
      <c r="C2099" s="14" t="n">
        <v>7</v>
      </c>
      <c r="D2099" s="14" t="s">
        <v>56</v>
      </c>
      <c r="E2099" s="15" t="n">
        <v>78561.8</v>
      </c>
      <c r="F2099" s="15" t="n">
        <v>59029.86</v>
      </c>
      <c r="G2099" s="16" t="n">
        <f aca="false">ROUND(E2099+F2099,2)</f>
        <v>137591.66</v>
      </c>
    </row>
    <row r="2100" customFormat="false" ht="15" hidden="false" customHeight="false" outlineLevel="0" collapsed="false">
      <c r="A2100" s="14" t="s">
        <v>41</v>
      </c>
      <c r="B2100" s="14" t="n">
        <v>2021</v>
      </c>
      <c r="C2100" s="14" t="n">
        <v>8</v>
      </c>
      <c r="D2100" s="14" t="s">
        <v>57</v>
      </c>
      <c r="E2100" s="15" t="n">
        <v>78162.52</v>
      </c>
      <c r="F2100" s="15" t="n">
        <v>51180.74</v>
      </c>
      <c r="G2100" s="16" t="n">
        <f aca="false">ROUND(E2100+F2100,2)</f>
        <v>129343.26</v>
      </c>
    </row>
    <row r="2101" customFormat="false" ht="15" hidden="false" customHeight="false" outlineLevel="0" collapsed="false">
      <c r="A2101" s="14" t="s">
        <v>41</v>
      </c>
      <c r="B2101" s="14" t="n">
        <v>2021</v>
      </c>
      <c r="C2101" s="14" t="n">
        <v>9</v>
      </c>
      <c r="D2101" s="14" t="s">
        <v>58</v>
      </c>
      <c r="E2101" s="15" t="n">
        <v>61648.56</v>
      </c>
      <c r="F2101" s="15" t="n">
        <v>46430.7</v>
      </c>
      <c r="G2101" s="16" t="n">
        <f aca="false">ROUND(E2101+F2101,2)</f>
        <v>108079.26</v>
      </c>
    </row>
    <row r="2102" customFormat="false" ht="15" hidden="false" customHeight="false" outlineLevel="0" collapsed="false">
      <c r="A2102" s="14" t="s">
        <v>41</v>
      </c>
      <c r="B2102" s="14" t="n">
        <v>2021</v>
      </c>
      <c r="C2102" s="14" t="n">
        <v>10</v>
      </c>
      <c r="D2102" s="14" t="s">
        <v>59</v>
      </c>
      <c r="E2102" s="15" t="n">
        <v>57390.81</v>
      </c>
      <c r="F2102" s="15" t="n">
        <v>35864.36</v>
      </c>
      <c r="G2102" s="16" t="n">
        <f aca="false">ROUND(E2102+F2102,2)</f>
        <v>93255.17</v>
      </c>
    </row>
    <row r="2103" customFormat="false" ht="15" hidden="false" customHeight="false" outlineLevel="0" collapsed="false">
      <c r="A2103" s="14" t="s">
        <v>41</v>
      </c>
      <c r="B2103" s="14" t="n">
        <v>2021</v>
      </c>
      <c r="C2103" s="14" t="n">
        <v>11</v>
      </c>
      <c r="D2103" s="14" t="s">
        <v>60</v>
      </c>
      <c r="E2103" s="15" t="n">
        <v>60150.36</v>
      </c>
      <c r="F2103" s="15" t="n">
        <v>60469.38</v>
      </c>
      <c r="G2103" s="16" t="n">
        <f aca="false">ROUND(E2103+F2103,2)</f>
        <v>120619.74</v>
      </c>
    </row>
    <row r="2104" customFormat="false" ht="15" hidden="false" customHeight="false" outlineLevel="0" collapsed="false">
      <c r="A2104" s="14" t="s">
        <v>41</v>
      </c>
      <c r="B2104" s="14" t="n">
        <v>2021</v>
      </c>
      <c r="C2104" s="14" t="n">
        <v>12</v>
      </c>
      <c r="D2104" s="14" t="s">
        <v>61</v>
      </c>
      <c r="E2104" s="15" t="n">
        <v>72278.94</v>
      </c>
      <c r="F2104" s="15" t="n">
        <v>59851.74</v>
      </c>
      <c r="G2104" s="16" t="n">
        <f aca="false">ROUND(E2104+F2104,2)</f>
        <v>132130.68</v>
      </c>
    </row>
    <row r="2105" customFormat="false" ht="15" hidden="false" customHeight="false" outlineLevel="0" collapsed="false">
      <c r="A2105" s="14" t="s">
        <v>41</v>
      </c>
      <c r="B2105" s="14" t="n">
        <v>2022</v>
      </c>
      <c r="C2105" s="14" t="n">
        <v>1</v>
      </c>
      <c r="D2105" s="14" t="s">
        <v>50</v>
      </c>
      <c r="E2105" s="15" t="n">
        <v>54279.03</v>
      </c>
      <c r="F2105" s="15" t="n">
        <v>43474.38</v>
      </c>
      <c r="G2105" s="16" t="n">
        <f aca="false">ROUND(E2105+F2105,2)</f>
        <v>97753.41</v>
      </c>
    </row>
    <row r="2106" customFormat="false" ht="15" hidden="false" customHeight="false" outlineLevel="0" collapsed="false">
      <c r="A2106" s="14" t="s">
        <v>41</v>
      </c>
      <c r="B2106" s="14" t="n">
        <v>2022</v>
      </c>
      <c r="C2106" s="14" t="n">
        <v>2</v>
      </c>
      <c r="D2106" s="14" t="s">
        <v>51</v>
      </c>
      <c r="E2106" s="15" t="n">
        <v>54235.29</v>
      </c>
      <c r="F2106" s="15" t="n">
        <v>43524.07</v>
      </c>
      <c r="G2106" s="16" t="n">
        <f aca="false">ROUND(E2106+F2106,2)</f>
        <v>97759.36</v>
      </c>
    </row>
    <row r="2107" customFormat="false" ht="15" hidden="false" customHeight="false" outlineLevel="0" collapsed="false">
      <c r="A2107" s="14" t="s">
        <v>41</v>
      </c>
      <c r="B2107" s="14" t="n">
        <v>2022</v>
      </c>
      <c r="C2107" s="14" t="n">
        <v>3</v>
      </c>
      <c r="D2107" s="14" t="s">
        <v>52</v>
      </c>
      <c r="E2107" s="15" t="n">
        <v>70111.17</v>
      </c>
      <c r="F2107" s="15" t="n">
        <v>55039.62</v>
      </c>
      <c r="G2107" s="16" t="n">
        <f aca="false">ROUND(E2107+F2107,2)</f>
        <v>125150.79</v>
      </c>
    </row>
    <row r="2108" customFormat="false" ht="15" hidden="false" customHeight="false" outlineLevel="0" collapsed="false">
      <c r="A2108" s="14" t="s">
        <v>41</v>
      </c>
      <c r="B2108" s="14" t="n">
        <v>2022</v>
      </c>
      <c r="C2108" s="14" t="n">
        <v>4</v>
      </c>
      <c r="D2108" s="14" t="s">
        <v>53</v>
      </c>
      <c r="E2108" s="15" t="n">
        <v>74326.39</v>
      </c>
      <c r="F2108" s="15" t="n">
        <v>48232.85</v>
      </c>
      <c r="G2108" s="16" t="n">
        <f aca="false">ROUND(E2108+F2108,2)</f>
        <v>122559.24</v>
      </c>
    </row>
    <row r="2109" customFormat="false" ht="15" hidden="false" customHeight="false" outlineLevel="0" collapsed="false">
      <c r="A2109" s="14" t="s">
        <v>41</v>
      </c>
      <c r="B2109" s="14" t="n">
        <v>2022</v>
      </c>
      <c r="C2109" s="14" t="n">
        <v>5</v>
      </c>
      <c r="D2109" s="14" t="s">
        <v>54</v>
      </c>
      <c r="E2109" s="15" t="n">
        <v>65308.95</v>
      </c>
      <c r="F2109" s="15" t="n">
        <v>53178.36</v>
      </c>
      <c r="G2109" s="16" t="n">
        <f aca="false">ROUND(E2109+F2109,2)</f>
        <v>118487.31</v>
      </c>
    </row>
    <row r="2110" customFormat="false" ht="15" hidden="false" customHeight="false" outlineLevel="0" collapsed="false">
      <c r="A2110" s="14" t="s">
        <v>41</v>
      </c>
      <c r="B2110" s="14" t="n">
        <v>2022</v>
      </c>
      <c r="C2110" s="14" t="n">
        <v>6</v>
      </c>
      <c r="D2110" s="14" t="s">
        <v>55</v>
      </c>
      <c r="E2110" s="15" t="n">
        <v>80785.39</v>
      </c>
      <c r="F2110" s="15" t="n">
        <v>64953.77</v>
      </c>
      <c r="G2110" s="16" t="n">
        <f aca="false">ROUND(E2110+F2110,2)</f>
        <v>145739.16</v>
      </c>
    </row>
    <row r="2111" customFormat="false" ht="15" hidden="false" customHeight="false" outlineLevel="0" collapsed="false">
      <c r="A2111" s="14" t="s">
        <v>41</v>
      </c>
      <c r="B2111" s="14" t="n">
        <v>2022</v>
      </c>
      <c r="C2111" s="14" t="n">
        <v>7</v>
      </c>
      <c r="D2111" s="14" t="s">
        <v>56</v>
      </c>
      <c r="E2111" s="15" t="n">
        <v>74320.32</v>
      </c>
      <c r="F2111" s="15" t="n">
        <v>45672.94</v>
      </c>
      <c r="G2111" s="16" t="n">
        <f aca="false">ROUND(E2111+F2111,2)</f>
        <v>119993.26</v>
      </c>
    </row>
    <row r="2112" customFormat="false" ht="15" hidden="false" customHeight="false" outlineLevel="0" collapsed="false">
      <c r="A2112" s="14" t="s">
        <v>41</v>
      </c>
      <c r="B2112" s="14" t="n">
        <v>2022</v>
      </c>
      <c r="C2112" s="14" t="n">
        <v>8</v>
      </c>
      <c r="D2112" s="14" t="s">
        <v>57</v>
      </c>
      <c r="E2112" s="15" t="n">
        <v>72802.39</v>
      </c>
      <c r="F2112" s="15" t="n">
        <v>50353.35</v>
      </c>
      <c r="G2112" s="16" t="n">
        <f aca="false">ROUND(E2112+F2112,2)</f>
        <v>123155.74</v>
      </c>
    </row>
    <row r="2113" customFormat="false" ht="15" hidden="false" customHeight="false" outlineLevel="0" collapsed="false">
      <c r="A2113" s="14" t="s">
        <v>41</v>
      </c>
      <c r="B2113" s="14" t="n">
        <v>2022</v>
      </c>
      <c r="C2113" s="14" t="n">
        <v>9</v>
      </c>
      <c r="D2113" s="14" t="s">
        <v>58</v>
      </c>
      <c r="E2113" s="15" t="n">
        <v>62887.23</v>
      </c>
      <c r="F2113" s="15" t="n">
        <v>44124.96</v>
      </c>
      <c r="G2113" s="16" t="n">
        <f aca="false">ROUND(E2113+F2113,2)</f>
        <v>107012.19</v>
      </c>
    </row>
    <row r="2114" customFormat="false" ht="15" hidden="false" customHeight="false" outlineLevel="0" collapsed="false">
      <c r="A2114" s="14" t="s">
        <v>41</v>
      </c>
      <c r="B2114" s="14" t="n">
        <v>2022</v>
      </c>
      <c r="C2114" s="14" t="n">
        <v>10</v>
      </c>
      <c r="D2114" s="14" t="s">
        <v>59</v>
      </c>
      <c r="E2114" s="15" t="n">
        <v>66385.77</v>
      </c>
      <c r="F2114" s="15" t="n">
        <v>42559.81</v>
      </c>
      <c r="G2114" s="16" t="n">
        <f aca="false">ROUND(E2114+F2114,2)</f>
        <v>108945.58</v>
      </c>
    </row>
    <row r="2115" customFormat="false" ht="15" hidden="false" customHeight="false" outlineLevel="0" collapsed="false">
      <c r="A2115" s="14" t="s">
        <v>41</v>
      </c>
      <c r="B2115" s="14" t="n">
        <v>2022</v>
      </c>
      <c r="C2115" s="14" t="n">
        <v>11</v>
      </c>
      <c r="D2115" s="14" t="s">
        <v>60</v>
      </c>
      <c r="E2115" s="15" t="n">
        <v>72902.54</v>
      </c>
      <c r="F2115" s="15" t="n">
        <v>66030.79</v>
      </c>
      <c r="G2115" s="16" t="n">
        <f aca="false">ROUND(E2115+F2115,2)</f>
        <v>138933.33</v>
      </c>
    </row>
    <row r="2116" customFormat="false" ht="15" hidden="false" customHeight="false" outlineLevel="0" collapsed="false">
      <c r="A2116" s="14" t="s">
        <v>41</v>
      </c>
      <c r="B2116" s="14" t="n">
        <v>2022</v>
      </c>
      <c r="C2116" s="14" t="n">
        <v>12</v>
      </c>
      <c r="D2116" s="14" t="s">
        <v>61</v>
      </c>
      <c r="E2116" s="15" t="n">
        <v>81138.49</v>
      </c>
      <c r="F2116" s="15" t="n">
        <v>53839.24</v>
      </c>
      <c r="G2116" s="16" t="n">
        <f aca="false">ROUND(E2116+F2116,2)</f>
        <v>134977.73</v>
      </c>
    </row>
    <row r="2117" customFormat="false" ht="15" hidden="false" customHeight="false" outlineLevel="0" collapsed="false">
      <c r="A2117" s="14" t="s">
        <v>41</v>
      </c>
      <c r="B2117" s="14" t="n">
        <v>2023</v>
      </c>
      <c r="C2117" s="14" t="n">
        <v>1</v>
      </c>
      <c r="D2117" s="14" t="s">
        <v>50</v>
      </c>
      <c r="E2117" s="15" t="n">
        <v>84247.48</v>
      </c>
      <c r="F2117" s="15" t="n">
        <v>60415.42</v>
      </c>
      <c r="G2117" s="16" t="n">
        <f aca="false">ROUND(E2117+F2117,2)</f>
        <v>144662.9</v>
      </c>
    </row>
    <row r="2118" customFormat="false" ht="15" hidden="false" customHeight="false" outlineLevel="0" collapsed="false">
      <c r="A2118" s="14" t="s">
        <v>41</v>
      </c>
      <c r="B2118" s="14" t="n">
        <v>2023</v>
      </c>
      <c r="C2118" s="14" t="n">
        <v>2</v>
      </c>
      <c r="D2118" s="14" t="s">
        <v>51</v>
      </c>
      <c r="E2118" s="15" t="n">
        <v>62490.39</v>
      </c>
      <c r="F2118" s="15" t="n">
        <v>41632.36</v>
      </c>
      <c r="G2118" s="16" t="n">
        <f aca="false">ROUND(E2118+F2118,2)</f>
        <v>104122.75</v>
      </c>
    </row>
    <row r="2119" customFormat="false" ht="15" hidden="false" customHeight="false" outlineLevel="0" collapsed="false">
      <c r="A2119" s="14" t="s">
        <v>41</v>
      </c>
      <c r="B2119" s="14" t="n">
        <v>2023</v>
      </c>
      <c r="C2119" s="14" t="n">
        <v>3</v>
      </c>
      <c r="D2119" s="14" t="s">
        <v>52</v>
      </c>
      <c r="E2119" s="15" t="n">
        <v>86148.52</v>
      </c>
      <c r="F2119" s="15" t="n">
        <v>54010.69</v>
      </c>
      <c r="G2119" s="16" t="n">
        <f aca="false">ROUND(E2119+F2119,2)</f>
        <v>140159.21</v>
      </c>
    </row>
    <row r="2120" customFormat="false" ht="15" hidden="false" customHeight="false" outlineLevel="0" collapsed="false">
      <c r="A2120" s="14" t="s">
        <v>41</v>
      </c>
      <c r="B2120" s="14" t="n">
        <v>2023</v>
      </c>
      <c r="C2120" s="14" t="n">
        <v>4</v>
      </c>
      <c r="D2120" s="14" t="s">
        <v>53</v>
      </c>
      <c r="E2120" s="15" t="n">
        <v>75292.37</v>
      </c>
      <c r="F2120" s="15" t="n">
        <v>57742.51</v>
      </c>
      <c r="G2120" s="16" t="n">
        <f aca="false">ROUND(E2120+F2120,2)</f>
        <v>133034.88</v>
      </c>
    </row>
    <row r="2121" customFormat="false" ht="15" hidden="false" customHeight="false" outlineLevel="0" collapsed="false">
      <c r="A2121" s="14" t="s">
        <v>41</v>
      </c>
      <c r="B2121" s="14" t="n">
        <v>2023</v>
      </c>
      <c r="C2121" s="14" t="n">
        <v>5</v>
      </c>
      <c r="D2121" s="14" t="s">
        <v>54</v>
      </c>
      <c r="E2121" s="15" t="n">
        <v>99470.7</v>
      </c>
      <c r="F2121" s="15" t="n">
        <v>67802.44</v>
      </c>
      <c r="G2121" s="16" t="n">
        <f aca="false">ROUND(E2121+F2121,2)</f>
        <v>167273.14</v>
      </c>
    </row>
    <row r="2122" customFormat="false" ht="15" hidden="false" customHeight="false" outlineLevel="0" collapsed="false">
      <c r="A2122" s="14" t="s">
        <v>41</v>
      </c>
      <c r="B2122" s="14" t="n">
        <v>2023</v>
      </c>
      <c r="C2122" s="14" t="n">
        <v>6</v>
      </c>
      <c r="D2122" s="14" t="s">
        <v>55</v>
      </c>
      <c r="E2122" s="15" t="n">
        <v>90274.29</v>
      </c>
      <c r="F2122" s="15" t="n">
        <v>67376.32</v>
      </c>
      <c r="G2122" s="16" t="n">
        <f aca="false">ROUND(E2122+F2122,2)</f>
        <v>157650.61</v>
      </c>
    </row>
    <row r="2123" customFormat="false" ht="15" hidden="false" customHeight="false" outlineLevel="0" collapsed="false">
      <c r="A2123" s="14" t="s">
        <v>41</v>
      </c>
      <c r="B2123" s="14" t="n">
        <v>2023</v>
      </c>
      <c r="C2123" s="14" t="n">
        <v>7</v>
      </c>
      <c r="D2123" s="14" t="s">
        <v>56</v>
      </c>
      <c r="E2123" s="15" t="n">
        <v>88896.26</v>
      </c>
      <c r="F2123" s="15" t="n">
        <v>58094.06</v>
      </c>
      <c r="G2123" s="16" t="n">
        <f aca="false">ROUND(E2123+F2123,2)</f>
        <v>146990.32</v>
      </c>
    </row>
    <row r="2124" customFormat="false" ht="15" hidden="false" customHeight="false" outlineLevel="0" collapsed="false">
      <c r="A2124" s="14" t="s">
        <v>41</v>
      </c>
      <c r="B2124" s="14" t="n">
        <v>2023</v>
      </c>
      <c r="C2124" s="14" t="n">
        <v>8</v>
      </c>
      <c r="D2124" s="14" t="s">
        <v>57</v>
      </c>
      <c r="E2124" s="15" t="n">
        <v>101339.51</v>
      </c>
      <c r="F2124" s="15" t="n">
        <v>59140.65</v>
      </c>
      <c r="G2124" s="16" t="n">
        <f aca="false">ROUND(E2124+F2124,2)</f>
        <v>160480.16</v>
      </c>
    </row>
    <row r="2125" customFormat="false" ht="15" hidden="false" customHeight="false" outlineLevel="0" collapsed="false">
      <c r="A2125" s="14" t="s">
        <v>41</v>
      </c>
      <c r="B2125" s="14" t="n">
        <v>2023</v>
      </c>
      <c r="C2125" s="14" t="n">
        <v>9</v>
      </c>
      <c r="D2125" s="14" t="s">
        <v>58</v>
      </c>
      <c r="E2125" s="15" t="n">
        <v>88249.53</v>
      </c>
      <c r="F2125" s="15" t="n">
        <v>57566.81</v>
      </c>
      <c r="G2125" s="16" t="n">
        <f aca="false">ROUND(E2125+F2125,2)</f>
        <v>145816.34</v>
      </c>
    </row>
    <row r="2126" customFormat="false" ht="15" hidden="false" customHeight="false" outlineLevel="0" collapsed="false">
      <c r="A2126" s="14" t="s">
        <v>41</v>
      </c>
      <c r="B2126" s="14" t="n">
        <v>2023</v>
      </c>
      <c r="C2126" s="14" t="n">
        <v>10</v>
      </c>
      <c r="D2126" s="14" t="s">
        <v>59</v>
      </c>
      <c r="E2126" s="15" t="n">
        <v>77166.14</v>
      </c>
      <c r="F2126" s="15" t="n">
        <v>50886.3</v>
      </c>
      <c r="G2126" s="16" t="n">
        <f aca="false">ROUND(E2126+F2126,2)</f>
        <v>128052.44</v>
      </c>
    </row>
    <row r="2127" customFormat="false" ht="15" hidden="false" customHeight="false" outlineLevel="0" collapsed="false">
      <c r="A2127" s="14" t="s">
        <v>41</v>
      </c>
      <c r="B2127" s="14" t="n">
        <v>2023</v>
      </c>
      <c r="C2127" s="14" t="n">
        <v>11</v>
      </c>
      <c r="D2127" s="14" t="s">
        <v>60</v>
      </c>
      <c r="E2127" s="15" t="n">
        <v>72467.11</v>
      </c>
      <c r="F2127" s="15" t="n">
        <v>51692.62</v>
      </c>
      <c r="G2127" s="16" t="n">
        <f aca="false">ROUND(E2127+F2127,2)</f>
        <v>124159.73</v>
      </c>
    </row>
    <row r="2128" customFormat="false" ht="15" hidden="false" customHeight="false" outlineLevel="0" collapsed="false">
      <c r="A2128" s="14" t="s">
        <v>41</v>
      </c>
      <c r="B2128" s="14" t="n">
        <v>2023</v>
      </c>
      <c r="C2128" s="14" t="n">
        <v>12</v>
      </c>
      <c r="D2128" s="14" t="s">
        <v>61</v>
      </c>
      <c r="E2128" s="15" t="n">
        <v>78872.7</v>
      </c>
      <c r="F2128" s="15" t="n">
        <v>46074.45</v>
      </c>
      <c r="G2128" s="16" t="n">
        <f aca="false">ROUND(E2128+F2128,2)</f>
        <v>124947.15</v>
      </c>
    </row>
    <row r="2129" customFormat="false" ht="15" hidden="false" customHeight="false" outlineLevel="0" collapsed="false">
      <c r="A2129" s="14" t="s">
        <v>41</v>
      </c>
      <c r="B2129" s="14" t="n">
        <v>2024</v>
      </c>
      <c r="C2129" s="14" t="n">
        <v>1</v>
      </c>
      <c r="D2129" s="14" t="s">
        <v>50</v>
      </c>
      <c r="E2129" s="15" t="n">
        <v>70806.38</v>
      </c>
      <c r="F2129" s="15" t="n">
        <v>45696.03</v>
      </c>
      <c r="G2129" s="16" t="n">
        <f aca="false">ROUND(E2129+F2129,2)</f>
        <v>116502.41</v>
      </c>
    </row>
    <row r="2130" customFormat="false" ht="15" hidden="false" customHeight="false" outlineLevel="0" collapsed="false">
      <c r="A2130" s="14" t="s">
        <v>41</v>
      </c>
      <c r="B2130" s="14" t="n">
        <v>2024</v>
      </c>
      <c r="C2130" s="14" t="n">
        <v>2</v>
      </c>
      <c r="D2130" s="14" t="s">
        <v>51</v>
      </c>
      <c r="E2130" s="15" t="n">
        <v>76031.83</v>
      </c>
      <c r="F2130" s="15" t="n">
        <v>51699.98</v>
      </c>
      <c r="G2130" s="16" t="n">
        <f aca="false">ROUND(E2130+F2130,2)</f>
        <v>127731.81</v>
      </c>
    </row>
    <row r="2131" customFormat="false" ht="15" hidden="false" customHeight="false" outlineLevel="0" collapsed="false">
      <c r="A2131" s="14" t="s">
        <v>41</v>
      </c>
      <c r="B2131" s="14" t="n">
        <v>2024</v>
      </c>
      <c r="C2131" s="14" t="n">
        <v>3</v>
      </c>
      <c r="D2131" s="14" t="s">
        <v>52</v>
      </c>
      <c r="E2131" s="15" t="n">
        <v>71251.12</v>
      </c>
      <c r="F2131" s="15" t="n">
        <v>58871.91</v>
      </c>
      <c r="G2131" s="16" t="n">
        <f aca="false">ROUND(E2131+F2131,2)</f>
        <v>130123.03</v>
      </c>
    </row>
    <row r="2132" customFormat="false" ht="15" hidden="false" customHeight="false" outlineLevel="0" collapsed="false">
      <c r="A2132" s="14" t="s">
        <v>41</v>
      </c>
      <c r="B2132" s="14" t="n">
        <v>2024</v>
      </c>
      <c r="C2132" s="14" t="n">
        <v>4</v>
      </c>
      <c r="D2132" s="14" t="s">
        <v>53</v>
      </c>
      <c r="E2132" s="15" t="n">
        <v>75780.29</v>
      </c>
      <c r="F2132" s="15" t="n">
        <v>47046.18</v>
      </c>
      <c r="G2132" s="16" t="n">
        <f aca="false">ROUND(E2132+F2132,2)</f>
        <v>122826.47</v>
      </c>
    </row>
    <row r="2133" customFormat="false" ht="15" hidden="false" customHeight="false" outlineLevel="0" collapsed="false">
      <c r="A2133" s="14" t="s">
        <v>41</v>
      </c>
      <c r="B2133" s="14" t="n">
        <v>2024</v>
      </c>
      <c r="C2133" s="14" t="n">
        <v>5</v>
      </c>
      <c r="D2133" s="14" t="s">
        <v>54</v>
      </c>
      <c r="E2133" s="15" t="n">
        <v>87167.81</v>
      </c>
      <c r="F2133" s="15" t="n">
        <v>57419.19</v>
      </c>
      <c r="G2133" s="16" t="n">
        <f aca="false">ROUND(E2133+F2133,2)</f>
        <v>144587</v>
      </c>
    </row>
    <row r="2134" customFormat="false" ht="15" hidden="false" customHeight="false" outlineLevel="0" collapsed="false">
      <c r="A2134" s="14" t="s">
        <v>41</v>
      </c>
      <c r="B2134" s="14" t="n">
        <v>2024</v>
      </c>
      <c r="C2134" s="14" t="n">
        <v>6</v>
      </c>
      <c r="D2134" s="14" t="s">
        <v>55</v>
      </c>
      <c r="E2134" s="15" t="n">
        <v>29422.88</v>
      </c>
      <c r="F2134" s="15" t="n">
        <v>17906.93</v>
      </c>
      <c r="G2134" s="16" t="n">
        <f aca="false">ROUND(E2134+F2134,2)</f>
        <v>47329.81</v>
      </c>
    </row>
    <row r="2135" customFormat="false" ht="15" hidden="false" customHeight="false" outlineLevel="0" collapsed="false">
      <c r="A2135" s="14" t="s">
        <v>41</v>
      </c>
      <c r="B2135" s="14" t="n">
        <v>2024</v>
      </c>
      <c r="C2135" s="14" t="n">
        <v>7</v>
      </c>
      <c r="D2135" s="14" t="s">
        <v>56</v>
      </c>
      <c r="E2135" s="15" t="n">
        <v>66102.02</v>
      </c>
      <c r="F2135" s="15" t="n">
        <v>50476.93</v>
      </c>
      <c r="G2135" s="16" t="n">
        <f aca="false">ROUND(E2135+F2135,2)</f>
        <v>116578.95</v>
      </c>
    </row>
    <row r="2136" customFormat="false" ht="15" hidden="false" customHeight="false" outlineLevel="0" collapsed="false">
      <c r="A2136" s="14" t="s">
        <v>41</v>
      </c>
      <c r="B2136" s="14" t="n">
        <v>2024</v>
      </c>
      <c r="C2136" s="14" t="n">
        <v>8</v>
      </c>
      <c r="D2136" s="14" t="s">
        <v>57</v>
      </c>
      <c r="E2136" s="15" t="n">
        <v>86270.14</v>
      </c>
      <c r="F2136" s="15" t="n">
        <v>55376.96</v>
      </c>
      <c r="G2136" s="16" t="n">
        <f aca="false">ROUND(E2136+F2136,2)</f>
        <v>141647.1</v>
      </c>
    </row>
    <row r="2137" customFormat="false" ht="15" hidden="false" customHeight="false" outlineLevel="0" collapsed="false">
      <c r="A2137" s="14" t="s">
        <v>41</v>
      </c>
      <c r="B2137" s="14" t="n">
        <v>2024</v>
      </c>
      <c r="C2137" s="14" t="n">
        <v>9</v>
      </c>
      <c r="D2137" s="14" t="s">
        <v>58</v>
      </c>
      <c r="E2137" s="15" t="n">
        <v>81144.41</v>
      </c>
      <c r="F2137" s="15" t="n">
        <v>58559.26</v>
      </c>
      <c r="G2137" s="16" t="n">
        <f aca="false">ROUND(E2137+F2137,2)</f>
        <v>139703.67</v>
      </c>
    </row>
    <row r="2138" customFormat="false" ht="15" hidden="false" customHeight="false" outlineLevel="0" collapsed="false">
      <c r="A2138" s="14" t="s">
        <v>41</v>
      </c>
      <c r="B2138" s="14" t="n">
        <v>2024</v>
      </c>
      <c r="C2138" s="14" t="n">
        <v>10</v>
      </c>
      <c r="D2138" s="14" t="s">
        <v>59</v>
      </c>
      <c r="E2138" s="15" t="n">
        <v>91192.69</v>
      </c>
      <c r="F2138" s="15" t="n">
        <v>62266.98</v>
      </c>
      <c r="G2138" s="16" t="n">
        <f aca="false">ROUND(E2138+F2138,2)</f>
        <v>153459.67</v>
      </c>
    </row>
    <row r="2139" customFormat="false" ht="15" hidden="false" customHeight="false" outlineLevel="0" collapsed="false">
      <c r="A2139" s="14" t="s">
        <v>41</v>
      </c>
      <c r="B2139" s="14" t="n">
        <v>2024</v>
      </c>
      <c r="C2139" s="14" t="n">
        <v>11</v>
      </c>
      <c r="D2139" s="14" t="s">
        <v>60</v>
      </c>
      <c r="E2139" s="15" t="n">
        <v>72288.1</v>
      </c>
      <c r="F2139" s="15" t="n">
        <v>47796.19</v>
      </c>
      <c r="G2139" s="16" t="n">
        <f aca="false">ROUND(E2139+F2139,2)</f>
        <v>120084.29</v>
      </c>
    </row>
    <row r="2140" customFormat="false" ht="15" hidden="false" customHeight="false" outlineLevel="0" collapsed="false">
      <c r="A2140" s="14" t="s">
        <v>41</v>
      </c>
      <c r="B2140" s="14" t="n">
        <v>2024</v>
      </c>
      <c r="C2140" s="14" t="n">
        <v>12</v>
      </c>
      <c r="D2140" s="14" t="s">
        <v>61</v>
      </c>
      <c r="E2140" s="15" t="n">
        <v>82758.24</v>
      </c>
      <c r="F2140" s="15" t="n">
        <v>56276.23</v>
      </c>
      <c r="G2140" s="16" t="n">
        <f aca="false">ROUND(E2140+F2140,2)</f>
        <v>139034.47</v>
      </c>
    </row>
    <row r="2141" customFormat="false" ht="15" hidden="false" customHeight="false" outlineLevel="0" collapsed="false">
      <c r="A2141" s="14" t="s">
        <v>41</v>
      </c>
      <c r="B2141" s="14" t="n">
        <v>2025</v>
      </c>
      <c r="C2141" s="14" t="n">
        <v>1</v>
      </c>
      <c r="D2141" s="14" t="s">
        <v>50</v>
      </c>
      <c r="E2141" s="15" t="n">
        <v>102033.74</v>
      </c>
      <c r="F2141" s="15" t="n">
        <v>57949.52</v>
      </c>
      <c r="G2141" s="16" t="n">
        <f aca="false">ROUND(E2141+F2141,2)</f>
        <v>159983.26</v>
      </c>
    </row>
    <row r="2142" customFormat="false" ht="15" hidden="false" customHeight="false" outlineLevel="0" collapsed="false">
      <c r="A2142" s="14" t="s">
        <v>41</v>
      </c>
      <c r="B2142" s="14" t="n">
        <v>2025</v>
      </c>
      <c r="C2142" s="14" t="n">
        <v>2</v>
      </c>
      <c r="D2142" s="14" t="s">
        <v>51</v>
      </c>
      <c r="E2142" s="15" t="n">
        <v>76401</v>
      </c>
      <c r="F2142" s="15" t="n">
        <v>39118.44</v>
      </c>
      <c r="G2142" s="16" t="n">
        <f aca="false">ROUND(E2142+F2142,2)</f>
        <v>115519.44</v>
      </c>
    </row>
    <row r="2143" customFormat="false" ht="15" hidden="false" customHeight="false" outlineLevel="0" collapsed="false">
      <c r="A2143" s="14" t="s">
        <v>41</v>
      </c>
      <c r="B2143" s="14" t="n">
        <v>2025</v>
      </c>
      <c r="C2143" s="14" t="n">
        <v>3</v>
      </c>
      <c r="D2143" s="14" t="s">
        <v>52</v>
      </c>
      <c r="E2143" s="15" t="n">
        <v>76469</v>
      </c>
      <c r="F2143" s="15" t="n">
        <v>42201.86</v>
      </c>
      <c r="G2143" s="16" t="n">
        <f aca="false">ROUND(E2143+F2143,2)</f>
        <v>118670.86</v>
      </c>
    </row>
    <row r="2144" customFormat="false" ht="15" hidden="false" customHeight="false" outlineLevel="0" collapsed="false">
      <c r="A2144" s="14" t="s">
        <v>41</v>
      </c>
      <c r="B2144" s="14" t="n">
        <v>2025</v>
      </c>
      <c r="C2144" s="14" t="n">
        <v>4</v>
      </c>
      <c r="D2144" s="14" t="s">
        <v>53</v>
      </c>
      <c r="E2144" s="15" t="n">
        <v>97849.57</v>
      </c>
      <c r="F2144" s="15" t="n">
        <v>50973.37</v>
      </c>
      <c r="G2144" s="16" t="n">
        <f aca="false">ROUND(E2144+F2144,2)</f>
        <v>148822.94</v>
      </c>
    </row>
    <row r="2145" customFormat="false" ht="15" hidden="false" customHeight="false" outlineLevel="0" collapsed="false">
      <c r="A2145" s="14" t="s">
        <v>41</v>
      </c>
      <c r="B2145" s="14" t="n">
        <v>2025</v>
      </c>
      <c r="C2145" s="14" t="n">
        <v>5</v>
      </c>
      <c r="D2145" s="14" t="s">
        <v>54</v>
      </c>
      <c r="E2145" s="15" t="n">
        <v>76957.35</v>
      </c>
      <c r="F2145" s="15" t="n">
        <v>49200.67</v>
      </c>
      <c r="G2145" s="16" t="n">
        <f aca="false">ROUND(E2145+F2145,2)</f>
        <v>126158.02</v>
      </c>
    </row>
    <row r="2146" customFormat="false" ht="15" hidden="false" customHeight="false" outlineLevel="0" collapsed="false">
      <c r="A2146" s="14" t="s">
        <v>41</v>
      </c>
      <c r="B2146" s="14" t="n">
        <v>2025</v>
      </c>
      <c r="C2146" s="14" t="n">
        <v>6</v>
      </c>
      <c r="D2146" s="14" t="s">
        <v>55</v>
      </c>
      <c r="E2146" s="15" t="n">
        <v>80529.47</v>
      </c>
      <c r="F2146" s="15" t="n">
        <v>38762.88</v>
      </c>
      <c r="G2146" s="16" t="n">
        <f aca="false">ROUND(E2146+F2146,2)</f>
        <v>119292.35</v>
      </c>
    </row>
    <row r="2147" customFormat="false" ht="15" hidden="false" customHeight="false" outlineLevel="0" collapsed="false">
      <c r="A2147" s="14" t="s">
        <v>41</v>
      </c>
      <c r="B2147" s="14" t="n">
        <v>2025</v>
      </c>
      <c r="C2147" s="14" t="n">
        <v>7</v>
      </c>
      <c r="D2147" s="14" t="s">
        <v>56</v>
      </c>
      <c r="E2147" s="15" t="n">
        <v>75751.65</v>
      </c>
      <c r="F2147" s="15" t="n">
        <v>47082.52</v>
      </c>
      <c r="G2147" s="16" t="n">
        <f aca="false">ROUND(E2147+F2147,2)</f>
        <v>122834.17</v>
      </c>
    </row>
    <row r="2148" customFormat="false" ht="15" hidden="false" customHeight="false" outlineLevel="0" collapsed="false">
      <c r="A2148" s="14" t="s">
        <v>41</v>
      </c>
      <c r="B2148" s="14" t="n">
        <v>2025</v>
      </c>
      <c r="C2148" s="14" t="n">
        <v>8</v>
      </c>
      <c r="D2148" s="14" t="s">
        <v>57</v>
      </c>
      <c r="E2148" s="15" t="n">
        <v>76285.47</v>
      </c>
      <c r="F2148" s="15" t="n">
        <v>47498.52</v>
      </c>
      <c r="G2148" s="16" t="n">
        <f aca="false">ROUND(E2148+F2148,2)</f>
        <v>123783.99</v>
      </c>
    </row>
    <row r="2149" customFormat="false" ht="15" hidden="false" customHeight="false" outlineLevel="0" collapsed="false">
      <c r="A2149" s="14" t="s">
        <v>41</v>
      </c>
      <c r="B2149" s="14" t="n">
        <v>2025</v>
      </c>
      <c r="C2149" s="14" t="n">
        <v>9</v>
      </c>
      <c r="D2149" s="14" t="s">
        <v>58</v>
      </c>
      <c r="E2149" s="15" t="n">
        <v>61238.72</v>
      </c>
      <c r="F2149" s="15" t="n">
        <v>34560.13</v>
      </c>
      <c r="G2149" s="16" t="n">
        <f aca="false">ROUND(E2149+F2149,2)</f>
        <v>95798.85</v>
      </c>
    </row>
    <row r="2150" customFormat="false" ht="15" hidden="false" customHeight="false" outlineLevel="0" collapsed="false">
      <c r="A2150" s="14" t="s">
        <v>41</v>
      </c>
      <c r="B2150" s="14" t="n">
        <v>2025</v>
      </c>
      <c r="C2150" s="14" t="n">
        <v>10</v>
      </c>
      <c r="D2150" s="14" t="s">
        <v>59</v>
      </c>
      <c r="E2150" s="15" t="n">
        <v>75642.81</v>
      </c>
      <c r="F2150" s="15" t="n">
        <v>37917.01</v>
      </c>
      <c r="G2150" s="16" t="n">
        <f aca="false">ROUND(E2150+F2150,2)</f>
        <v>113559.82</v>
      </c>
    </row>
    <row r="2151" customFormat="false" ht="15" hidden="false" customHeight="false" outlineLevel="0" collapsed="false">
      <c r="A2151" s="14" t="s">
        <v>41</v>
      </c>
      <c r="B2151" s="14" t="n">
        <v>2025</v>
      </c>
      <c r="C2151" s="14" t="n">
        <v>11</v>
      </c>
      <c r="D2151" s="14" t="s">
        <v>60</v>
      </c>
      <c r="E2151" s="15" t="n">
        <v>65439.94</v>
      </c>
      <c r="F2151" s="15" t="n">
        <v>36436.32</v>
      </c>
      <c r="G2151" s="16" t="n">
        <f aca="false">ROUND(E2151+F2151,2)</f>
        <v>101876.26</v>
      </c>
    </row>
    <row r="2152" customFormat="false" ht="15" hidden="false" customHeight="false" outlineLevel="0" collapsed="false">
      <c r="A2152" s="14" t="s">
        <v>41</v>
      </c>
      <c r="B2152" s="14" t="n">
        <v>2025</v>
      </c>
      <c r="C2152" s="14" t="n">
        <v>12</v>
      </c>
      <c r="D2152" s="14" t="s">
        <v>61</v>
      </c>
      <c r="E2152" s="15" t="n">
        <v>70358.83</v>
      </c>
      <c r="F2152" s="15" t="n">
        <v>40347.45</v>
      </c>
      <c r="G2152" s="16" t="n">
        <f aca="false">ROUND(E2152+F2152,2)</f>
        <v>110706.28</v>
      </c>
    </row>
    <row r="2153" customFormat="false" ht="15" hidden="false" customHeight="false" outlineLevel="0" collapsed="false">
      <c r="A2153" s="14" t="s">
        <v>41</v>
      </c>
      <c r="B2153" s="14" t="n">
        <v>2026</v>
      </c>
      <c r="C2153" s="14" t="n">
        <v>1</v>
      </c>
      <c r="D2153" s="14" t="s">
        <v>50</v>
      </c>
      <c r="E2153" s="15" t="n">
        <v>77148.21</v>
      </c>
      <c r="F2153" s="15" t="n">
        <v>40345.73</v>
      </c>
      <c r="G2153" s="16" t="n">
        <f aca="false">ROUND(E2153+F2153,2)</f>
        <v>117493.94</v>
      </c>
    </row>
    <row r="2154" customFormat="false" ht="15" hidden="false" customHeight="false" outlineLevel="0" collapsed="false">
      <c r="A2154" s="14" t="s">
        <v>41</v>
      </c>
      <c r="B2154" s="14" t="n">
        <v>2026</v>
      </c>
      <c r="C2154" s="14" t="n">
        <v>2</v>
      </c>
      <c r="D2154" s="14" t="s">
        <v>51</v>
      </c>
      <c r="E2154" s="15" t="n">
        <v>50714.3</v>
      </c>
      <c r="F2154" s="15" t="n">
        <v>31966.64</v>
      </c>
      <c r="G2154" s="16" t="n">
        <f aca="false">ROUND(E2154+F2154,2)</f>
        <v>82680.94</v>
      </c>
    </row>
    <row r="2155" customFormat="false" ht="15" hidden="false" customHeight="false" outlineLevel="0" collapsed="false">
      <c r="A2155" s="14" t="s">
        <v>41</v>
      </c>
      <c r="B2155" s="14" t="n">
        <v>2026</v>
      </c>
      <c r="C2155" s="14" t="n">
        <v>3</v>
      </c>
      <c r="D2155" s="14" t="s">
        <v>52</v>
      </c>
      <c r="E2155" s="15" t="n">
        <v>62970.27</v>
      </c>
      <c r="F2155" s="15" t="n">
        <v>37518.04</v>
      </c>
      <c r="G2155" s="16" t="n">
        <f aca="false">ROUND(E2155+F2155,2)</f>
        <v>100488.31</v>
      </c>
    </row>
    <row r="2156" customFormat="false" ht="15" hidden="false" customHeight="false" outlineLevel="0" collapsed="false">
      <c r="A2156" s="14" t="s">
        <v>41</v>
      </c>
      <c r="B2156" s="14" t="n">
        <v>2026</v>
      </c>
      <c r="C2156" s="14" t="n">
        <v>4</v>
      </c>
      <c r="D2156" s="14" t="s">
        <v>53</v>
      </c>
      <c r="E2156" s="15" t="n">
        <v>69943.09</v>
      </c>
      <c r="F2156" s="15" t="n">
        <v>45616.5</v>
      </c>
      <c r="G2156" s="16" t="n">
        <f aca="false">ROUND(E2156+F2156,2)</f>
        <v>115559.59</v>
      </c>
    </row>
    <row r="2157" customFormat="false" ht="15" hidden="false" customHeight="false" outlineLevel="0" collapsed="false">
      <c r="A2157" s="14" t="s">
        <v>41</v>
      </c>
      <c r="B2157" s="14" t="n">
        <v>2026</v>
      </c>
      <c r="C2157" s="14" t="n">
        <v>5</v>
      </c>
      <c r="D2157" s="14" t="s">
        <v>54</v>
      </c>
      <c r="E2157" s="15" t="n">
        <v>57099.67</v>
      </c>
      <c r="F2157" s="15" t="n">
        <v>36698.46</v>
      </c>
      <c r="G2157" s="16" t="n">
        <f aca="false">ROUND(E2157+F2157,2)</f>
        <v>93798.13</v>
      </c>
    </row>
    <row r="2158" customFormat="false" ht="15" hidden="false" customHeight="false" outlineLevel="0" collapsed="false">
      <c r="A2158" s="14" t="s">
        <v>41</v>
      </c>
      <c r="B2158" s="14" t="n">
        <v>2026</v>
      </c>
      <c r="C2158" s="14" t="n">
        <v>6</v>
      </c>
      <c r="D2158" s="14" t="s">
        <v>55</v>
      </c>
      <c r="E2158" s="15" t="n">
        <v>81302.86</v>
      </c>
      <c r="F2158" s="15" t="n">
        <v>49819.25</v>
      </c>
      <c r="G2158" s="16" t="n">
        <f aca="false">ROUND(E2158+F2158,2)</f>
        <v>131122.11</v>
      </c>
    </row>
    <row r="2159" customFormat="false" ht="15" hidden="false" customHeight="false" outlineLevel="0" collapsed="false">
      <c r="A2159" s="14" t="s">
        <v>41</v>
      </c>
      <c r="B2159" s="14" t="n">
        <v>2026</v>
      </c>
      <c r="C2159" s="14" t="n">
        <v>7</v>
      </c>
      <c r="D2159" s="14" t="s">
        <v>56</v>
      </c>
      <c r="E2159" s="15" t="n">
        <v>71072.87</v>
      </c>
      <c r="F2159" s="15" t="n">
        <v>56137.32</v>
      </c>
      <c r="G2159" s="16" t="n">
        <f aca="false">ROUND(E2159+F2159,2)</f>
        <v>127210.19</v>
      </c>
    </row>
    <row r="2160" customFormat="false" ht="15" hidden="false" customHeight="false" outlineLevel="0" collapsed="false">
      <c r="A2160" s="14" t="s">
        <v>34</v>
      </c>
      <c r="B2160" s="14" t="n">
        <v>2026</v>
      </c>
      <c r="C2160" s="14" t="n">
        <v>8</v>
      </c>
      <c r="D2160" s="14" t="s">
        <v>57</v>
      </c>
      <c r="E2160" s="15" t="n">
        <v>197623.48</v>
      </c>
      <c r="F2160" s="15" t="n">
        <v>131452.67</v>
      </c>
      <c r="G2160" s="16" t="n">
        <f aca="false">ROUND(E2160+F2160,2)</f>
        <v>329076.15</v>
      </c>
    </row>
    <row r="2161" customFormat="false" ht="15" hidden="false" customHeight="false" outlineLevel="0" collapsed="false">
      <c r="A2161" s="14" t="s">
        <v>12</v>
      </c>
      <c r="B2161" s="14" t="n">
        <v>2026</v>
      </c>
      <c r="C2161" s="14" t="n">
        <v>8</v>
      </c>
      <c r="D2161" s="14" t="s">
        <v>57</v>
      </c>
      <c r="E2161" s="15" t="n">
        <v>885098.27</v>
      </c>
      <c r="F2161" s="15" t="n">
        <v>406582.71</v>
      </c>
      <c r="G2161" s="16" t="n">
        <f aca="false">ROUND(E2161+F2161,2)</f>
        <v>1291680.98</v>
      </c>
    </row>
    <row r="2162" customFormat="false" ht="15" hidden="false" customHeight="false" outlineLevel="0" collapsed="false">
      <c r="A2162" s="14" t="s">
        <v>27</v>
      </c>
      <c r="B2162" s="14" t="n">
        <v>2026</v>
      </c>
      <c r="C2162" s="14" t="n">
        <v>8</v>
      </c>
      <c r="D2162" s="14" t="s">
        <v>57</v>
      </c>
      <c r="E2162" s="15" t="n">
        <v>353652.99</v>
      </c>
      <c r="F2162" s="15" t="n">
        <v>173510.39</v>
      </c>
      <c r="G2162" s="16" t="n">
        <f aca="false">ROUND(E2162+F2162,2)</f>
        <v>527163.38</v>
      </c>
    </row>
    <row r="2163" customFormat="false" ht="15" hidden="false" customHeight="false" outlineLevel="0" collapsed="false">
      <c r="A2163" s="14" t="s">
        <v>37</v>
      </c>
      <c r="B2163" s="14" t="n">
        <v>2026</v>
      </c>
      <c r="C2163" s="14" t="n">
        <v>8</v>
      </c>
      <c r="D2163" s="14" t="s">
        <v>57</v>
      </c>
      <c r="E2163" s="15" t="n">
        <v>143893.62</v>
      </c>
      <c r="F2163" s="15" t="n">
        <v>108019.33</v>
      </c>
      <c r="G2163" s="16" t="n">
        <f aca="false">ROUND(E2163+F2163,2)</f>
        <v>251912.95</v>
      </c>
    </row>
    <row r="2164" customFormat="false" ht="15" hidden="false" customHeight="false" outlineLevel="0" collapsed="false">
      <c r="A2164" s="14" t="s">
        <v>15</v>
      </c>
      <c r="B2164" s="14" t="n">
        <v>2026</v>
      </c>
      <c r="C2164" s="14" t="n">
        <v>8</v>
      </c>
      <c r="D2164" s="14" t="s">
        <v>57</v>
      </c>
      <c r="E2164" s="15" t="n">
        <v>756800.39</v>
      </c>
      <c r="F2164" s="15" t="n">
        <v>343496.27</v>
      </c>
      <c r="G2164" s="16" t="n">
        <f aca="false">ROUND(E2164+F2164,2)</f>
        <v>1100296.66</v>
      </c>
    </row>
    <row r="2165" customFormat="false" ht="15" hidden="false" customHeight="false" outlineLevel="0" collapsed="false">
      <c r="A2165" s="14" t="s">
        <v>30</v>
      </c>
      <c r="B2165" s="14" t="n">
        <v>2026</v>
      </c>
      <c r="C2165" s="14" t="n">
        <v>8</v>
      </c>
      <c r="D2165" s="14" t="s">
        <v>57</v>
      </c>
      <c r="E2165" s="15" t="n">
        <v>296487.01</v>
      </c>
      <c r="F2165" s="15" t="n">
        <v>169010.6</v>
      </c>
      <c r="G2165" s="16" t="n">
        <f aca="false">ROUND(E2165+F2165,2)</f>
        <v>465497.61</v>
      </c>
    </row>
    <row r="2166" customFormat="false" ht="15" hidden="false" customHeight="false" outlineLevel="0" collapsed="false">
      <c r="A2166" s="14" t="s">
        <v>24</v>
      </c>
      <c r="B2166" s="14" t="n">
        <v>2026</v>
      </c>
      <c r="C2166" s="14" t="n">
        <v>8</v>
      </c>
      <c r="D2166" s="14" t="s">
        <v>57</v>
      </c>
      <c r="E2166" s="15" t="n">
        <v>340439.52</v>
      </c>
      <c r="F2166" s="15" t="n">
        <v>183234.98</v>
      </c>
      <c r="G2166" s="16" t="n">
        <f aca="false">ROUND(E2166+F2166,2)</f>
        <v>523674.5</v>
      </c>
    </row>
    <row r="2167" customFormat="false" ht="15" hidden="false" customHeight="false" outlineLevel="0" collapsed="false">
      <c r="A2167" s="14" t="s">
        <v>10</v>
      </c>
      <c r="B2167" s="14" t="n">
        <v>2026</v>
      </c>
      <c r="C2167" s="14" t="n">
        <v>8</v>
      </c>
      <c r="D2167" s="14" t="s">
        <v>57</v>
      </c>
      <c r="E2167" s="15" t="n">
        <v>1212785.63</v>
      </c>
      <c r="F2167" s="15" t="n">
        <v>671630.45</v>
      </c>
      <c r="G2167" s="16" t="n">
        <f aca="false">ROUND(E2167+F2167,2)</f>
        <v>1884416.08</v>
      </c>
    </row>
    <row r="2168" customFormat="false" ht="15" hidden="false" customHeight="false" outlineLevel="0" collapsed="false">
      <c r="A2168" s="14" t="s">
        <v>39</v>
      </c>
      <c r="B2168" s="14" t="n">
        <v>2026</v>
      </c>
      <c r="C2168" s="14" t="n">
        <v>8</v>
      </c>
      <c r="D2168" s="14" t="s">
        <v>57</v>
      </c>
      <c r="E2168" s="15" t="n">
        <v>109150.94</v>
      </c>
      <c r="F2168" s="15" t="n">
        <v>65180.57</v>
      </c>
      <c r="G2168" s="16" t="n">
        <f aca="false">ROUND(E2168+F2168,2)</f>
        <v>174331.51</v>
      </c>
    </row>
    <row r="2169" customFormat="false" ht="15" hidden="false" customHeight="false" outlineLevel="0" collapsed="false">
      <c r="A2169" s="14" t="s">
        <v>11</v>
      </c>
      <c r="B2169" s="14" t="n">
        <v>2026</v>
      </c>
      <c r="C2169" s="14" t="n">
        <v>8</v>
      </c>
      <c r="D2169" s="14" t="s">
        <v>57</v>
      </c>
      <c r="E2169" s="15" t="n">
        <v>1142609.33</v>
      </c>
      <c r="F2169" s="15" t="n">
        <v>449566.69</v>
      </c>
      <c r="G2169" s="16" t="n">
        <f aca="false">ROUND(E2169+F2169,2)</f>
        <v>1592176.02</v>
      </c>
    </row>
    <row r="2170" customFormat="false" ht="15" hidden="false" customHeight="false" outlineLevel="0" collapsed="false">
      <c r="A2170" s="14" t="s">
        <v>14</v>
      </c>
      <c r="B2170" s="14" t="n">
        <v>2026</v>
      </c>
      <c r="C2170" s="14" t="n">
        <v>8</v>
      </c>
      <c r="D2170" s="14" t="s">
        <v>57</v>
      </c>
      <c r="E2170" s="15" t="n">
        <v>723575.54</v>
      </c>
      <c r="F2170" s="15" t="n">
        <v>310236.29</v>
      </c>
      <c r="G2170" s="16" t="n">
        <f aca="false">ROUND(E2170+F2170,2)</f>
        <v>1033811.83</v>
      </c>
    </row>
    <row r="2171" customFormat="false" ht="15" hidden="false" customHeight="false" outlineLevel="0" collapsed="false">
      <c r="A2171" s="14" t="s">
        <v>25</v>
      </c>
      <c r="B2171" s="14" t="n">
        <v>2026</v>
      </c>
      <c r="C2171" s="14" t="n">
        <v>8</v>
      </c>
      <c r="D2171" s="14" t="s">
        <v>57</v>
      </c>
      <c r="E2171" s="15" t="n">
        <v>316391.86</v>
      </c>
      <c r="F2171" s="15" t="n">
        <v>150553.72</v>
      </c>
      <c r="G2171" s="16" t="n">
        <f aca="false">ROUND(E2171+F2171,2)</f>
        <v>466945.58</v>
      </c>
    </row>
    <row r="2172" customFormat="false" ht="15" hidden="false" customHeight="false" outlineLevel="0" collapsed="false">
      <c r="A2172" s="14" t="s">
        <v>40</v>
      </c>
      <c r="B2172" s="14" t="n">
        <v>2026</v>
      </c>
      <c r="C2172" s="14" t="n">
        <v>8</v>
      </c>
      <c r="D2172" s="14" t="s">
        <v>57</v>
      </c>
      <c r="E2172" s="15" t="n">
        <v>123108.19</v>
      </c>
      <c r="F2172" s="15" t="n">
        <v>56240.51</v>
      </c>
      <c r="G2172" s="16" t="n">
        <f aca="false">ROUND(E2172+F2172,2)</f>
        <v>179348.7</v>
      </c>
    </row>
    <row r="2173" customFormat="false" ht="15" hidden="false" customHeight="false" outlineLevel="0" collapsed="false">
      <c r="A2173" s="14" t="s">
        <v>36</v>
      </c>
      <c r="B2173" s="14" t="n">
        <v>2026</v>
      </c>
      <c r="C2173" s="14" t="n">
        <v>8</v>
      </c>
      <c r="D2173" s="14" t="s">
        <v>57</v>
      </c>
      <c r="E2173" s="15" t="n">
        <v>166546.76</v>
      </c>
      <c r="F2173" s="15" t="n">
        <v>97999.31</v>
      </c>
      <c r="G2173" s="16" t="n">
        <f aca="false">ROUND(E2173+F2173,2)</f>
        <v>264546.07</v>
      </c>
    </row>
    <row r="2174" customFormat="false" ht="15" hidden="false" customHeight="false" outlineLevel="0" collapsed="false">
      <c r="A2174" s="14" t="s">
        <v>42</v>
      </c>
      <c r="B2174" s="14" t="n">
        <v>2026</v>
      </c>
      <c r="C2174" s="14" t="n">
        <v>8</v>
      </c>
      <c r="D2174" s="14" t="s">
        <v>57</v>
      </c>
      <c r="E2174" s="15" t="n">
        <v>25812.84</v>
      </c>
      <c r="F2174" s="15" t="n">
        <v>19564.01</v>
      </c>
      <c r="G2174" s="16" t="n">
        <f aca="false">ROUND(E2174+F2174,2)</f>
        <v>45376.85</v>
      </c>
    </row>
    <row r="2175" customFormat="false" ht="15" hidden="false" customHeight="false" outlineLevel="0" collapsed="false">
      <c r="A2175" s="14" t="s">
        <v>16</v>
      </c>
      <c r="B2175" s="14" t="n">
        <v>2026</v>
      </c>
      <c r="C2175" s="14" t="n">
        <v>8</v>
      </c>
      <c r="D2175" s="14" t="s">
        <v>57</v>
      </c>
      <c r="E2175" s="15" t="n">
        <v>442255.99</v>
      </c>
      <c r="F2175" s="15" t="n">
        <v>207349.13</v>
      </c>
      <c r="G2175" s="16" t="n">
        <f aca="false">ROUND(E2175+F2175,2)</f>
        <v>649605.12</v>
      </c>
    </row>
    <row r="2176" customFormat="false" ht="15" hidden="false" customHeight="false" outlineLevel="0" collapsed="false">
      <c r="A2176" s="14" t="s">
        <v>35</v>
      </c>
      <c r="B2176" s="14" t="n">
        <v>2026</v>
      </c>
      <c r="C2176" s="14" t="n">
        <v>8</v>
      </c>
      <c r="D2176" s="14" t="s">
        <v>57</v>
      </c>
      <c r="E2176" s="15" t="n">
        <v>171149.75</v>
      </c>
      <c r="F2176" s="15" t="n">
        <v>115036.83</v>
      </c>
      <c r="G2176" s="16" t="n">
        <f aca="false">ROUND(E2176+F2176,2)</f>
        <v>286186.58</v>
      </c>
    </row>
    <row r="2177" customFormat="false" ht="15" hidden="false" customHeight="false" outlineLevel="0" collapsed="false">
      <c r="A2177" s="14" t="s">
        <v>26</v>
      </c>
      <c r="B2177" s="14" t="n">
        <v>2026</v>
      </c>
      <c r="C2177" s="14" t="n">
        <v>8</v>
      </c>
      <c r="D2177" s="14" t="s">
        <v>57</v>
      </c>
      <c r="E2177" s="15" t="n">
        <v>314456.25</v>
      </c>
      <c r="F2177" s="15" t="n">
        <v>133465.37</v>
      </c>
      <c r="G2177" s="16" t="n">
        <f aca="false">ROUND(E2177+F2177,2)</f>
        <v>447921.62</v>
      </c>
    </row>
    <row r="2178" customFormat="false" ht="15" hidden="false" customHeight="false" outlineLevel="0" collapsed="false">
      <c r="A2178" s="14" t="s">
        <v>32</v>
      </c>
      <c r="B2178" s="14" t="n">
        <v>2026</v>
      </c>
      <c r="C2178" s="14" t="n">
        <v>8</v>
      </c>
      <c r="D2178" s="14" t="s">
        <v>57</v>
      </c>
      <c r="E2178" s="15" t="n">
        <v>246949.08</v>
      </c>
      <c r="F2178" s="15" t="n">
        <v>112276.13</v>
      </c>
      <c r="G2178" s="16" t="n">
        <f aca="false">ROUND(E2178+F2178,2)</f>
        <v>359225.21</v>
      </c>
    </row>
    <row r="2179" customFormat="false" ht="15" hidden="false" customHeight="false" outlineLevel="0" collapsed="false">
      <c r="A2179" s="14" t="s">
        <v>28</v>
      </c>
      <c r="B2179" s="14" t="n">
        <v>2026</v>
      </c>
      <c r="C2179" s="14" t="n">
        <v>8</v>
      </c>
      <c r="D2179" s="14" t="s">
        <v>57</v>
      </c>
      <c r="E2179" s="15" t="n">
        <v>275924.76</v>
      </c>
      <c r="F2179" s="15" t="n">
        <v>149025.03</v>
      </c>
      <c r="G2179" s="16" t="n">
        <f aca="false">ROUND(E2179+F2179,2)</f>
        <v>424949.79</v>
      </c>
    </row>
    <row r="2180" customFormat="false" ht="15" hidden="false" customHeight="false" outlineLevel="0" collapsed="false">
      <c r="A2180" s="14" t="s">
        <v>17</v>
      </c>
      <c r="B2180" s="14" t="n">
        <v>2026</v>
      </c>
      <c r="C2180" s="14" t="n">
        <v>8</v>
      </c>
      <c r="D2180" s="14" t="s">
        <v>57</v>
      </c>
      <c r="E2180" s="15" t="n">
        <v>491984.66</v>
      </c>
      <c r="F2180" s="15" t="n">
        <v>298532.34</v>
      </c>
      <c r="G2180" s="16" t="n">
        <f aca="false">ROUND(E2180+F2180,2)</f>
        <v>790517</v>
      </c>
    </row>
    <row r="2181" customFormat="false" ht="15" hidden="false" customHeight="false" outlineLevel="0" collapsed="false">
      <c r="A2181" s="14" t="s">
        <v>38</v>
      </c>
      <c r="B2181" s="14" t="n">
        <v>2026</v>
      </c>
      <c r="C2181" s="14" t="n">
        <v>8</v>
      </c>
      <c r="D2181" s="14" t="s">
        <v>57</v>
      </c>
      <c r="E2181" s="15" t="n">
        <v>203772.4</v>
      </c>
      <c r="F2181" s="15" t="n">
        <v>108136.5</v>
      </c>
      <c r="G2181" s="16" t="n">
        <f aca="false">ROUND(E2181+F2181,2)</f>
        <v>311908.9</v>
      </c>
    </row>
    <row r="2182" customFormat="false" ht="15" hidden="false" customHeight="false" outlineLevel="0" collapsed="false">
      <c r="A2182" s="14" t="s">
        <v>21</v>
      </c>
      <c r="B2182" s="14" t="n">
        <v>2026</v>
      </c>
      <c r="C2182" s="14" t="n">
        <v>8</v>
      </c>
      <c r="D2182" s="14" t="s">
        <v>57</v>
      </c>
      <c r="E2182" s="15" t="n">
        <v>285444.13</v>
      </c>
      <c r="F2182" s="15" t="n">
        <v>131580.08</v>
      </c>
      <c r="G2182" s="16" t="n">
        <f aca="false">ROUND(E2182+F2182,2)</f>
        <v>417024.21</v>
      </c>
    </row>
    <row r="2183" customFormat="false" ht="15" hidden="false" customHeight="false" outlineLevel="0" collapsed="false">
      <c r="A2183" s="14" t="s">
        <v>19</v>
      </c>
      <c r="B2183" s="14" t="n">
        <v>2026</v>
      </c>
      <c r="C2183" s="14" t="n">
        <v>8</v>
      </c>
      <c r="D2183" s="14" t="s">
        <v>57</v>
      </c>
      <c r="E2183" s="15" t="n">
        <v>356392.39</v>
      </c>
      <c r="F2183" s="15" t="n">
        <v>183677.31</v>
      </c>
      <c r="G2183" s="16" t="n">
        <f aca="false">ROUND(E2183+F2183,2)</f>
        <v>540069.7</v>
      </c>
    </row>
    <row r="2184" customFormat="false" ht="15" hidden="false" customHeight="false" outlineLevel="0" collapsed="false">
      <c r="A2184" s="14" t="s">
        <v>13</v>
      </c>
      <c r="B2184" s="14" t="n">
        <v>2026</v>
      </c>
      <c r="C2184" s="14" t="n">
        <v>8</v>
      </c>
      <c r="D2184" s="14" t="s">
        <v>57</v>
      </c>
      <c r="E2184" s="15" t="n">
        <v>736972.3</v>
      </c>
      <c r="F2184" s="15" t="n">
        <v>467062.81</v>
      </c>
      <c r="G2184" s="16" t="n">
        <f aca="false">ROUND(E2184+F2184,2)</f>
        <v>1204035.11</v>
      </c>
    </row>
    <row r="2185" customFormat="false" ht="15" hidden="false" customHeight="false" outlineLevel="0" collapsed="false">
      <c r="A2185" s="14" t="s">
        <v>33</v>
      </c>
      <c r="B2185" s="14" t="n">
        <v>2026</v>
      </c>
      <c r="C2185" s="14" t="n">
        <v>8</v>
      </c>
      <c r="D2185" s="14" t="s">
        <v>57</v>
      </c>
      <c r="E2185" s="15" t="n">
        <v>160197.56</v>
      </c>
      <c r="F2185" s="15" t="n">
        <v>110127.71</v>
      </c>
      <c r="G2185" s="16" t="n">
        <f aca="false">ROUND(E2185+F2185,2)</f>
        <v>270325.27</v>
      </c>
    </row>
    <row r="2186" customFormat="false" ht="15" hidden="false" customHeight="false" outlineLevel="0" collapsed="false">
      <c r="A2186" s="14" t="s">
        <v>31</v>
      </c>
      <c r="B2186" s="14" t="n">
        <v>2026</v>
      </c>
      <c r="C2186" s="14" t="n">
        <v>8</v>
      </c>
      <c r="D2186" s="14" t="s">
        <v>57</v>
      </c>
      <c r="E2186" s="15" t="n">
        <v>230388.71</v>
      </c>
      <c r="F2186" s="15" t="n">
        <v>137675.38</v>
      </c>
      <c r="G2186" s="16" t="n">
        <f aca="false">ROUND(E2186+F2186,2)</f>
        <v>368064.09</v>
      </c>
    </row>
    <row r="2187" customFormat="false" ht="15" hidden="false" customHeight="false" outlineLevel="0" collapsed="false">
      <c r="A2187" s="14" t="s">
        <v>22</v>
      </c>
      <c r="B2187" s="14" t="n">
        <v>2026</v>
      </c>
      <c r="C2187" s="14" t="n">
        <v>8</v>
      </c>
      <c r="D2187" s="14" t="s">
        <v>57</v>
      </c>
      <c r="E2187" s="15" t="n">
        <v>314142.89</v>
      </c>
      <c r="F2187" s="15" t="n">
        <v>148278.12</v>
      </c>
      <c r="G2187" s="16" t="n">
        <f aca="false">ROUND(E2187+F2187,2)</f>
        <v>462421.01</v>
      </c>
    </row>
    <row r="2188" customFormat="false" ht="15" hidden="false" customHeight="false" outlineLevel="0" collapsed="false">
      <c r="A2188" s="14" t="s">
        <v>9</v>
      </c>
      <c r="B2188" s="14" t="n">
        <v>2026</v>
      </c>
      <c r="C2188" s="14" t="n">
        <v>8</v>
      </c>
      <c r="D2188" s="14" t="s">
        <v>57</v>
      </c>
      <c r="E2188" s="15" t="n">
        <v>1928331.61</v>
      </c>
      <c r="F2188" s="15" t="n">
        <v>748485.49</v>
      </c>
      <c r="G2188" s="16" t="n">
        <f aca="false">ROUND(E2188+F2188,2)</f>
        <v>2676817.1</v>
      </c>
    </row>
    <row r="2189" customFormat="false" ht="15" hidden="false" customHeight="false" outlineLevel="0" collapsed="false">
      <c r="A2189" s="14" t="s">
        <v>20</v>
      </c>
      <c r="B2189" s="14" t="n">
        <v>2026</v>
      </c>
      <c r="C2189" s="14" t="n">
        <v>8</v>
      </c>
      <c r="D2189" s="14" t="s">
        <v>57</v>
      </c>
      <c r="E2189" s="15" t="n">
        <v>407256.91</v>
      </c>
      <c r="F2189" s="15" t="n">
        <v>185959.08</v>
      </c>
      <c r="G2189" s="16" t="n">
        <f aca="false">ROUND(E2189+F2189,2)</f>
        <v>593215.99</v>
      </c>
    </row>
    <row r="2190" customFormat="false" ht="15" hidden="false" customHeight="false" outlineLevel="0" collapsed="false">
      <c r="A2190" s="14" t="s">
        <v>18</v>
      </c>
      <c r="B2190" s="14" t="n">
        <v>2026</v>
      </c>
      <c r="C2190" s="14" t="n">
        <v>8</v>
      </c>
      <c r="D2190" s="14" t="s">
        <v>57</v>
      </c>
      <c r="E2190" s="15" t="n">
        <v>393469.47</v>
      </c>
      <c r="F2190" s="15" t="n">
        <v>258029.21</v>
      </c>
      <c r="G2190" s="16" t="n">
        <f aca="false">ROUND(E2190+F2190,2)</f>
        <v>651498.68</v>
      </c>
    </row>
    <row r="2191" customFormat="false" ht="15" hidden="false" customHeight="false" outlineLevel="0" collapsed="false">
      <c r="A2191" s="14" t="s">
        <v>29</v>
      </c>
      <c r="B2191" s="14" t="n">
        <v>2026</v>
      </c>
      <c r="C2191" s="14" t="n">
        <v>8</v>
      </c>
      <c r="D2191" s="14" t="s">
        <v>57</v>
      </c>
      <c r="E2191" s="15" t="n">
        <v>281070.8</v>
      </c>
      <c r="F2191" s="15" t="n">
        <v>196418.92</v>
      </c>
      <c r="G2191" s="16" t="n">
        <f aca="false">ROUND(E2191+F2191,2)</f>
        <v>477489.72</v>
      </c>
    </row>
    <row r="2192" customFormat="false" ht="15" hidden="false" customHeight="false" outlineLevel="0" collapsed="false">
      <c r="A2192" s="14" t="s">
        <v>23</v>
      </c>
      <c r="B2192" s="14" t="n">
        <v>2026</v>
      </c>
      <c r="C2192" s="14" t="n">
        <v>8</v>
      </c>
      <c r="D2192" s="14" t="s">
        <v>57</v>
      </c>
      <c r="E2192" s="15" t="n">
        <v>379293.05</v>
      </c>
      <c r="F2192" s="15" t="n">
        <v>159299.16</v>
      </c>
      <c r="G2192" s="16" t="n">
        <f aca="false">ROUND(E2192+F2192,2)</f>
        <v>538592.21</v>
      </c>
    </row>
    <row r="2193" customFormat="false" ht="15" hidden="false" customHeight="false" outlineLevel="0" collapsed="false">
      <c r="A2193" s="14" t="s">
        <v>41</v>
      </c>
      <c r="B2193" s="14" t="n">
        <v>2026</v>
      </c>
      <c r="C2193" s="14" t="n">
        <v>8</v>
      </c>
      <c r="D2193" s="14" t="s">
        <v>57</v>
      </c>
      <c r="E2193" s="15" t="n">
        <v>57804.52</v>
      </c>
      <c r="F2193" s="15" t="n">
        <v>41731.77</v>
      </c>
      <c r="G2193" s="16" t="n">
        <f aca="false">ROUND(E2193+F2193,2)</f>
        <v>99536.29</v>
      </c>
    </row>
    <row r="2194" customFormat="false" ht="15" hidden="false" customHeight="false" outlineLevel="0" collapsed="false">
      <c r="A2194" s="14" t="s">
        <v>34</v>
      </c>
      <c r="B2194" s="14" t="n">
        <v>2026</v>
      </c>
      <c r="C2194" s="14" t="n">
        <v>9</v>
      </c>
      <c r="D2194" s="14" t="s">
        <v>58</v>
      </c>
      <c r="E2194" s="15" t="n">
        <v>174623.32</v>
      </c>
      <c r="F2194" s="15" t="n">
        <v>122289.24</v>
      </c>
      <c r="G2194" s="16" t="n">
        <f aca="false">ROUND(E2194+F2194,2)</f>
        <v>296912.56</v>
      </c>
    </row>
    <row r="2195" customFormat="false" ht="15" hidden="false" customHeight="false" outlineLevel="0" collapsed="false">
      <c r="A2195" s="14" t="s">
        <v>12</v>
      </c>
      <c r="B2195" s="14" t="n">
        <v>2026</v>
      </c>
      <c r="C2195" s="14" t="n">
        <v>9</v>
      </c>
      <c r="D2195" s="14" t="s">
        <v>58</v>
      </c>
      <c r="E2195" s="15" t="n">
        <v>927224.16</v>
      </c>
      <c r="F2195" s="15" t="n">
        <v>460969.91</v>
      </c>
      <c r="G2195" s="16" t="n">
        <f aca="false">ROUND(E2195+F2195,2)</f>
        <v>1388194.07</v>
      </c>
    </row>
    <row r="2196" customFormat="false" ht="15" hidden="false" customHeight="false" outlineLevel="0" collapsed="false">
      <c r="A2196" s="14" t="s">
        <v>27</v>
      </c>
      <c r="B2196" s="14" t="n">
        <v>2026</v>
      </c>
      <c r="C2196" s="14" t="n">
        <v>9</v>
      </c>
      <c r="D2196" s="14" t="s">
        <v>58</v>
      </c>
      <c r="E2196" s="15" t="n">
        <v>316777.81</v>
      </c>
      <c r="F2196" s="15" t="n">
        <v>145130.83</v>
      </c>
      <c r="G2196" s="16" t="n">
        <f aca="false">ROUND(E2196+F2196,2)</f>
        <v>461908.64</v>
      </c>
    </row>
    <row r="2197" customFormat="false" ht="15" hidden="false" customHeight="false" outlineLevel="0" collapsed="false">
      <c r="A2197" s="14" t="s">
        <v>37</v>
      </c>
      <c r="B2197" s="14" t="n">
        <v>2026</v>
      </c>
      <c r="C2197" s="14" t="n">
        <v>9</v>
      </c>
      <c r="D2197" s="14" t="s">
        <v>58</v>
      </c>
      <c r="E2197" s="15" t="n">
        <v>150097.59</v>
      </c>
      <c r="F2197" s="15" t="n">
        <v>110304.77</v>
      </c>
      <c r="G2197" s="16" t="n">
        <f aca="false">ROUND(E2197+F2197,2)</f>
        <v>260402.36</v>
      </c>
    </row>
    <row r="2198" customFormat="false" ht="15" hidden="false" customHeight="false" outlineLevel="0" collapsed="false">
      <c r="A2198" s="14" t="s">
        <v>15</v>
      </c>
      <c r="B2198" s="14" t="n">
        <v>2026</v>
      </c>
      <c r="C2198" s="14" t="n">
        <v>9</v>
      </c>
      <c r="D2198" s="14" t="s">
        <v>58</v>
      </c>
      <c r="E2198" s="15" t="n">
        <v>680943.6</v>
      </c>
      <c r="F2198" s="15" t="n">
        <v>345080.68</v>
      </c>
      <c r="G2198" s="16" t="n">
        <f aca="false">ROUND(E2198+F2198,2)</f>
        <v>1026024.28</v>
      </c>
    </row>
    <row r="2199" customFormat="false" ht="15" hidden="false" customHeight="false" outlineLevel="0" collapsed="false">
      <c r="A2199" s="14" t="s">
        <v>30</v>
      </c>
      <c r="B2199" s="14" t="n">
        <v>2026</v>
      </c>
      <c r="C2199" s="14" t="n">
        <v>9</v>
      </c>
      <c r="D2199" s="14" t="s">
        <v>58</v>
      </c>
      <c r="E2199" s="15" t="n">
        <v>260612.17</v>
      </c>
      <c r="F2199" s="15" t="n">
        <v>137383.41</v>
      </c>
      <c r="G2199" s="16" t="n">
        <f aca="false">ROUND(E2199+F2199,2)</f>
        <v>397995.58</v>
      </c>
    </row>
    <row r="2200" customFormat="false" ht="15" hidden="false" customHeight="false" outlineLevel="0" collapsed="false">
      <c r="A2200" s="14" t="s">
        <v>24</v>
      </c>
      <c r="B2200" s="14" t="n">
        <v>2026</v>
      </c>
      <c r="C2200" s="14" t="n">
        <v>9</v>
      </c>
      <c r="D2200" s="14" t="s">
        <v>58</v>
      </c>
      <c r="E2200" s="15" t="n">
        <v>313213.04</v>
      </c>
      <c r="F2200" s="15" t="n">
        <v>158714.76</v>
      </c>
      <c r="G2200" s="16" t="n">
        <f aca="false">ROUND(E2200+F2200,2)</f>
        <v>471927.8</v>
      </c>
    </row>
    <row r="2201" customFormat="false" ht="15" hidden="false" customHeight="false" outlineLevel="0" collapsed="false">
      <c r="A2201" s="14" t="s">
        <v>10</v>
      </c>
      <c r="B2201" s="14" t="n">
        <v>2026</v>
      </c>
      <c r="C2201" s="14" t="n">
        <v>9</v>
      </c>
      <c r="D2201" s="14" t="s">
        <v>58</v>
      </c>
      <c r="E2201" s="15" t="n">
        <v>1003182.96</v>
      </c>
      <c r="F2201" s="15" t="n">
        <v>667009.88</v>
      </c>
      <c r="G2201" s="16" t="n">
        <f aca="false">ROUND(E2201+F2201,2)</f>
        <v>1670192.84</v>
      </c>
    </row>
    <row r="2202" customFormat="false" ht="15" hidden="false" customHeight="false" outlineLevel="0" collapsed="false">
      <c r="A2202" s="14" t="s">
        <v>39</v>
      </c>
      <c r="B2202" s="14" t="n">
        <v>2026</v>
      </c>
      <c r="C2202" s="14" t="n">
        <v>9</v>
      </c>
      <c r="D2202" s="14" t="s">
        <v>58</v>
      </c>
      <c r="E2202" s="15" t="n">
        <v>122989.64</v>
      </c>
      <c r="F2202" s="15" t="n">
        <v>71130.14</v>
      </c>
      <c r="G2202" s="16" t="n">
        <f aca="false">ROUND(E2202+F2202,2)</f>
        <v>194119.78</v>
      </c>
    </row>
    <row r="2203" customFormat="false" ht="15" hidden="false" customHeight="false" outlineLevel="0" collapsed="false">
      <c r="A2203" s="14" t="s">
        <v>11</v>
      </c>
      <c r="B2203" s="14" t="n">
        <v>2026</v>
      </c>
      <c r="C2203" s="14" t="n">
        <v>9</v>
      </c>
      <c r="D2203" s="14" t="s">
        <v>58</v>
      </c>
      <c r="E2203" s="15" t="n">
        <v>1111952.14</v>
      </c>
      <c r="F2203" s="15" t="n">
        <v>434841.68</v>
      </c>
      <c r="G2203" s="16" t="n">
        <f aca="false">ROUND(E2203+F2203,2)</f>
        <v>1546793.82</v>
      </c>
    </row>
    <row r="2204" customFormat="false" ht="15" hidden="false" customHeight="false" outlineLevel="0" collapsed="false">
      <c r="A2204" s="14" t="s">
        <v>14</v>
      </c>
      <c r="B2204" s="14" t="n">
        <v>2026</v>
      </c>
      <c r="C2204" s="14" t="n">
        <v>9</v>
      </c>
      <c r="D2204" s="14" t="s">
        <v>58</v>
      </c>
      <c r="E2204" s="15" t="n">
        <v>711304</v>
      </c>
      <c r="F2204" s="15" t="n">
        <v>351620.72</v>
      </c>
      <c r="G2204" s="16" t="n">
        <f aca="false">ROUND(E2204+F2204,2)</f>
        <v>1062924.72</v>
      </c>
    </row>
    <row r="2205" customFormat="false" ht="15" hidden="false" customHeight="false" outlineLevel="0" collapsed="false">
      <c r="A2205" s="14" t="s">
        <v>25</v>
      </c>
      <c r="B2205" s="14" t="n">
        <v>2026</v>
      </c>
      <c r="C2205" s="14" t="n">
        <v>9</v>
      </c>
      <c r="D2205" s="14" t="s">
        <v>58</v>
      </c>
      <c r="E2205" s="15" t="n">
        <v>309392.32</v>
      </c>
      <c r="F2205" s="15" t="n">
        <v>154236.88</v>
      </c>
      <c r="G2205" s="16" t="n">
        <f aca="false">ROUND(E2205+F2205,2)</f>
        <v>463629.2</v>
      </c>
    </row>
    <row r="2206" customFormat="false" ht="15" hidden="false" customHeight="false" outlineLevel="0" collapsed="false">
      <c r="A2206" s="14" t="s">
        <v>40</v>
      </c>
      <c r="B2206" s="14" t="n">
        <v>2026</v>
      </c>
      <c r="C2206" s="14" t="n">
        <v>9</v>
      </c>
      <c r="D2206" s="14" t="s">
        <v>58</v>
      </c>
      <c r="E2206" s="15" t="n">
        <v>119981.01</v>
      </c>
      <c r="F2206" s="15" t="n">
        <v>59513.37</v>
      </c>
      <c r="G2206" s="16" t="n">
        <f aca="false">ROUND(E2206+F2206,2)</f>
        <v>179494.38</v>
      </c>
    </row>
    <row r="2207" customFormat="false" ht="15" hidden="false" customHeight="false" outlineLevel="0" collapsed="false">
      <c r="A2207" s="14" t="s">
        <v>36</v>
      </c>
      <c r="B2207" s="14" t="n">
        <v>2026</v>
      </c>
      <c r="C2207" s="14" t="n">
        <v>9</v>
      </c>
      <c r="D2207" s="14" t="s">
        <v>58</v>
      </c>
      <c r="E2207" s="15" t="n">
        <v>179392.89</v>
      </c>
      <c r="F2207" s="15" t="n">
        <v>108420.24</v>
      </c>
      <c r="G2207" s="16" t="n">
        <f aca="false">ROUND(E2207+F2207,2)</f>
        <v>287813.13</v>
      </c>
    </row>
    <row r="2208" customFormat="false" ht="15" hidden="false" customHeight="false" outlineLevel="0" collapsed="false">
      <c r="A2208" s="14" t="s">
        <v>42</v>
      </c>
      <c r="B2208" s="14" t="n">
        <v>2026</v>
      </c>
      <c r="C2208" s="14" t="n">
        <v>9</v>
      </c>
      <c r="D2208" s="14" t="s">
        <v>58</v>
      </c>
      <c r="E2208" s="15" t="n">
        <v>27751.31</v>
      </c>
      <c r="F2208" s="15" t="n">
        <v>10209.71</v>
      </c>
      <c r="G2208" s="16" t="n">
        <f aca="false">ROUND(E2208+F2208,2)</f>
        <v>37961.02</v>
      </c>
    </row>
    <row r="2209" customFormat="false" ht="15" hidden="false" customHeight="false" outlineLevel="0" collapsed="false">
      <c r="A2209" s="14" t="s">
        <v>16</v>
      </c>
      <c r="B2209" s="14" t="n">
        <v>2026</v>
      </c>
      <c r="C2209" s="14" t="n">
        <v>9</v>
      </c>
      <c r="D2209" s="14" t="s">
        <v>58</v>
      </c>
      <c r="E2209" s="15" t="n">
        <v>491527.94</v>
      </c>
      <c r="F2209" s="15" t="n">
        <v>235394.39</v>
      </c>
      <c r="G2209" s="16" t="n">
        <f aca="false">ROUND(E2209+F2209,2)</f>
        <v>726922.33</v>
      </c>
    </row>
    <row r="2210" customFormat="false" ht="15" hidden="false" customHeight="false" outlineLevel="0" collapsed="false">
      <c r="A2210" s="14" t="s">
        <v>35</v>
      </c>
      <c r="B2210" s="14" t="n">
        <v>2026</v>
      </c>
      <c r="C2210" s="14" t="n">
        <v>9</v>
      </c>
      <c r="D2210" s="14" t="s">
        <v>58</v>
      </c>
      <c r="E2210" s="15" t="n">
        <v>176195.28</v>
      </c>
      <c r="F2210" s="15" t="n">
        <v>120419.48</v>
      </c>
      <c r="G2210" s="16" t="n">
        <f aca="false">ROUND(E2210+F2210,2)</f>
        <v>296614.76</v>
      </c>
    </row>
    <row r="2211" customFormat="false" ht="15" hidden="false" customHeight="false" outlineLevel="0" collapsed="false">
      <c r="A2211" s="14" t="s">
        <v>26</v>
      </c>
      <c r="B2211" s="14" t="n">
        <v>2026</v>
      </c>
      <c r="C2211" s="14" t="n">
        <v>9</v>
      </c>
      <c r="D2211" s="14" t="s">
        <v>58</v>
      </c>
      <c r="E2211" s="15" t="n">
        <v>332821.98</v>
      </c>
      <c r="F2211" s="15" t="n">
        <v>129481.28</v>
      </c>
      <c r="G2211" s="16" t="n">
        <f aca="false">ROUND(E2211+F2211,2)</f>
        <v>462303.26</v>
      </c>
    </row>
    <row r="2212" customFormat="false" ht="15" hidden="false" customHeight="false" outlineLevel="0" collapsed="false">
      <c r="A2212" s="14" t="s">
        <v>32</v>
      </c>
      <c r="B2212" s="14" t="n">
        <v>2026</v>
      </c>
      <c r="C2212" s="14" t="n">
        <v>9</v>
      </c>
      <c r="D2212" s="14" t="s">
        <v>58</v>
      </c>
      <c r="E2212" s="15" t="n">
        <v>262460.99</v>
      </c>
      <c r="F2212" s="15" t="n">
        <v>106872.2</v>
      </c>
      <c r="G2212" s="16" t="n">
        <f aca="false">ROUND(E2212+F2212,2)</f>
        <v>369333.19</v>
      </c>
    </row>
    <row r="2213" customFormat="false" ht="15" hidden="false" customHeight="false" outlineLevel="0" collapsed="false">
      <c r="A2213" s="14" t="s">
        <v>28</v>
      </c>
      <c r="B2213" s="14" t="n">
        <v>2026</v>
      </c>
      <c r="C2213" s="14" t="n">
        <v>9</v>
      </c>
      <c r="D2213" s="14" t="s">
        <v>58</v>
      </c>
      <c r="E2213" s="15" t="n">
        <v>281292.55</v>
      </c>
      <c r="F2213" s="15" t="n">
        <v>147005.74</v>
      </c>
      <c r="G2213" s="16" t="n">
        <f aca="false">ROUND(E2213+F2213,2)</f>
        <v>428298.29</v>
      </c>
    </row>
    <row r="2214" customFormat="false" ht="15" hidden="false" customHeight="false" outlineLevel="0" collapsed="false">
      <c r="A2214" s="14" t="s">
        <v>17</v>
      </c>
      <c r="B2214" s="14" t="n">
        <v>2026</v>
      </c>
      <c r="C2214" s="14" t="n">
        <v>9</v>
      </c>
      <c r="D2214" s="14" t="s">
        <v>58</v>
      </c>
      <c r="E2214" s="15" t="n">
        <v>436606.79</v>
      </c>
      <c r="F2214" s="15" t="n">
        <v>273873.9</v>
      </c>
      <c r="G2214" s="16" t="n">
        <f aca="false">ROUND(E2214+F2214,2)</f>
        <v>710480.69</v>
      </c>
    </row>
    <row r="2215" customFormat="false" ht="15" hidden="false" customHeight="false" outlineLevel="0" collapsed="false">
      <c r="A2215" s="14" t="s">
        <v>38</v>
      </c>
      <c r="B2215" s="14" t="n">
        <v>2026</v>
      </c>
      <c r="C2215" s="14" t="n">
        <v>9</v>
      </c>
      <c r="D2215" s="14" t="s">
        <v>58</v>
      </c>
      <c r="E2215" s="15" t="n">
        <v>153086.41</v>
      </c>
      <c r="F2215" s="15" t="n">
        <v>73952.05</v>
      </c>
      <c r="G2215" s="16" t="n">
        <f aca="false">ROUND(E2215+F2215,2)</f>
        <v>227038.46</v>
      </c>
    </row>
    <row r="2216" customFormat="false" ht="15" hidden="false" customHeight="false" outlineLevel="0" collapsed="false">
      <c r="A2216" s="14" t="s">
        <v>21</v>
      </c>
      <c r="B2216" s="14" t="n">
        <v>2026</v>
      </c>
      <c r="C2216" s="14" t="n">
        <v>9</v>
      </c>
      <c r="D2216" s="14" t="s">
        <v>58</v>
      </c>
      <c r="E2216" s="15" t="n">
        <v>302457.71</v>
      </c>
      <c r="F2216" s="15" t="n">
        <v>200348.57</v>
      </c>
      <c r="G2216" s="16" t="n">
        <f aca="false">ROUND(E2216+F2216,2)</f>
        <v>502806.28</v>
      </c>
    </row>
    <row r="2217" customFormat="false" ht="15" hidden="false" customHeight="false" outlineLevel="0" collapsed="false">
      <c r="A2217" s="14" t="s">
        <v>19</v>
      </c>
      <c r="B2217" s="14" t="n">
        <v>2026</v>
      </c>
      <c r="C2217" s="14" t="n">
        <v>9</v>
      </c>
      <c r="D2217" s="14" t="s">
        <v>58</v>
      </c>
      <c r="E2217" s="15" t="n">
        <v>392627.87</v>
      </c>
      <c r="F2217" s="15" t="n">
        <v>200372.73</v>
      </c>
      <c r="G2217" s="16" t="n">
        <f aca="false">ROUND(E2217+F2217,2)</f>
        <v>593000.6</v>
      </c>
    </row>
    <row r="2218" customFormat="false" ht="15" hidden="false" customHeight="false" outlineLevel="0" collapsed="false">
      <c r="A2218" s="14" t="s">
        <v>13</v>
      </c>
      <c r="B2218" s="14" t="n">
        <v>2026</v>
      </c>
      <c r="C2218" s="14" t="n">
        <v>9</v>
      </c>
      <c r="D2218" s="14" t="s">
        <v>58</v>
      </c>
      <c r="E2218" s="15" t="n">
        <v>679418.9</v>
      </c>
      <c r="F2218" s="15" t="n">
        <v>391170.44</v>
      </c>
      <c r="G2218" s="16" t="n">
        <f aca="false">ROUND(E2218+F2218,2)</f>
        <v>1070589.34</v>
      </c>
    </row>
    <row r="2219" customFormat="false" ht="15" hidden="false" customHeight="false" outlineLevel="0" collapsed="false">
      <c r="A2219" s="14" t="s">
        <v>33</v>
      </c>
      <c r="B2219" s="14" t="n">
        <v>2026</v>
      </c>
      <c r="C2219" s="14" t="n">
        <v>9</v>
      </c>
      <c r="D2219" s="14" t="s">
        <v>58</v>
      </c>
      <c r="E2219" s="15" t="n">
        <v>183661.17</v>
      </c>
      <c r="F2219" s="15" t="n">
        <v>120083.47</v>
      </c>
      <c r="G2219" s="16" t="n">
        <f aca="false">ROUND(E2219+F2219,2)</f>
        <v>303744.64</v>
      </c>
    </row>
    <row r="2220" customFormat="false" ht="15" hidden="false" customHeight="false" outlineLevel="0" collapsed="false">
      <c r="A2220" s="14" t="s">
        <v>31</v>
      </c>
      <c r="B2220" s="14" t="n">
        <v>2026</v>
      </c>
      <c r="C2220" s="14" t="n">
        <v>9</v>
      </c>
      <c r="D2220" s="14" t="s">
        <v>58</v>
      </c>
      <c r="E2220" s="15" t="n">
        <v>229569.14</v>
      </c>
      <c r="F2220" s="15" t="n">
        <v>142608.93</v>
      </c>
      <c r="G2220" s="16" t="n">
        <f aca="false">ROUND(E2220+F2220,2)</f>
        <v>372178.07</v>
      </c>
    </row>
    <row r="2221" customFormat="false" ht="15" hidden="false" customHeight="false" outlineLevel="0" collapsed="false">
      <c r="A2221" s="14" t="s">
        <v>22</v>
      </c>
      <c r="B2221" s="14" t="n">
        <v>2026</v>
      </c>
      <c r="C2221" s="14" t="n">
        <v>9</v>
      </c>
      <c r="D2221" s="14" t="s">
        <v>58</v>
      </c>
      <c r="E2221" s="15" t="n">
        <v>349085.67</v>
      </c>
      <c r="F2221" s="15" t="n">
        <v>145786.91</v>
      </c>
      <c r="G2221" s="16" t="n">
        <f aca="false">ROUND(E2221+F2221,2)</f>
        <v>494872.58</v>
      </c>
    </row>
    <row r="2222" customFormat="false" ht="15" hidden="false" customHeight="false" outlineLevel="0" collapsed="false">
      <c r="A2222" s="14" t="s">
        <v>9</v>
      </c>
      <c r="B2222" s="14" t="n">
        <v>2026</v>
      </c>
      <c r="C2222" s="14" t="n">
        <v>9</v>
      </c>
      <c r="D2222" s="14" t="s">
        <v>58</v>
      </c>
      <c r="E2222" s="15" t="n">
        <v>1870796.17</v>
      </c>
      <c r="F2222" s="15" t="n">
        <v>803123.01</v>
      </c>
      <c r="G2222" s="16" t="n">
        <f aca="false">ROUND(E2222+F2222,2)</f>
        <v>2673919.18</v>
      </c>
    </row>
    <row r="2223" customFormat="false" ht="15" hidden="false" customHeight="false" outlineLevel="0" collapsed="false">
      <c r="A2223" s="14" t="s">
        <v>20</v>
      </c>
      <c r="B2223" s="14" t="n">
        <v>2026</v>
      </c>
      <c r="C2223" s="14" t="n">
        <v>9</v>
      </c>
      <c r="D2223" s="14" t="s">
        <v>58</v>
      </c>
      <c r="E2223" s="15" t="n">
        <v>388411.02</v>
      </c>
      <c r="F2223" s="15" t="n">
        <v>164029.84</v>
      </c>
      <c r="G2223" s="16" t="n">
        <f aca="false">ROUND(E2223+F2223,2)</f>
        <v>552440.86</v>
      </c>
    </row>
    <row r="2224" customFormat="false" ht="15" hidden="false" customHeight="false" outlineLevel="0" collapsed="false">
      <c r="A2224" s="14" t="s">
        <v>18</v>
      </c>
      <c r="B2224" s="14" t="n">
        <v>2026</v>
      </c>
      <c r="C2224" s="14" t="n">
        <v>9</v>
      </c>
      <c r="D2224" s="14" t="s">
        <v>58</v>
      </c>
      <c r="E2224" s="15" t="n">
        <v>415701.04</v>
      </c>
      <c r="F2224" s="15" t="n">
        <v>238402.65</v>
      </c>
      <c r="G2224" s="16" t="n">
        <f aca="false">ROUND(E2224+F2224,2)</f>
        <v>654103.69</v>
      </c>
    </row>
    <row r="2225" customFormat="false" ht="15" hidden="false" customHeight="false" outlineLevel="0" collapsed="false">
      <c r="A2225" s="14" t="s">
        <v>29</v>
      </c>
      <c r="B2225" s="14" t="n">
        <v>2026</v>
      </c>
      <c r="C2225" s="14" t="n">
        <v>9</v>
      </c>
      <c r="D2225" s="14" t="s">
        <v>58</v>
      </c>
      <c r="E2225" s="15" t="n">
        <v>238936.06</v>
      </c>
      <c r="F2225" s="15" t="n">
        <v>163314.65</v>
      </c>
      <c r="G2225" s="16" t="n">
        <f aca="false">ROUND(E2225+F2225,2)</f>
        <v>402250.71</v>
      </c>
    </row>
    <row r="2226" customFormat="false" ht="15" hidden="false" customHeight="false" outlineLevel="0" collapsed="false">
      <c r="A2226" s="14" t="s">
        <v>23</v>
      </c>
      <c r="B2226" s="14" t="n">
        <v>2026</v>
      </c>
      <c r="C2226" s="14" t="n">
        <v>9</v>
      </c>
      <c r="D2226" s="14" t="s">
        <v>58</v>
      </c>
      <c r="E2226" s="15" t="n">
        <v>340820.23</v>
      </c>
      <c r="F2226" s="15" t="n">
        <v>153137.54</v>
      </c>
      <c r="G2226" s="16" t="n">
        <f aca="false">ROUND(E2226+F2226,2)</f>
        <v>493957.77</v>
      </c>
    </row>
    <row r="2227" customFormat="false" ht="15" hidden="false" customHeight="false" outlineLevel="0" collapsed="false">
      <c r="A2227" s="14" t="s">
        <v>41</v>
      </c>
      <c r="B2227" s="14" t="n">
        <v>2026</v>
      </c>
      <c r="C2227" s="14" t="n">
        <v>9</v>
      </c>
      <c r="D2227" s="14" t="s">
        <v>58</v>
      </c>
      <c r="E2227" s="15" t="n">
        <v>60424.61</v>
      </c>
      <c r="F2227" s="15" t="n">
        <v>39703.76</v>
      </c>
      <c r="G2227" s="16" t="n">
        <f aca="false">ROUND(E2227+F2227,2)</f>
        <v>100128.37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7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62</v>
      </c>
    </row>
    <row r="3" customFormat="false" ht="15" hidden="false" customHeight="false" outlineLevel="0" collapsed="false">
      <c r="A3" s="4" t="s">
        <v>5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4" t="s">
        <v>68</v>
      </c>
    </row>
    <row r="4" customFormat="false" ht="15" hidden="false" customHeight="false" outlineLevel="0" collapsed="false">
      <c r="A4" s="17" t="s">
        <v>9</v>
      </c>
      <c r="B4" s="18" t="n">
        <f aca="false">SUMPRODUCT(MAX((Data!$A$2:$A$2227=$A4)*Data!$E$2:$E$2227))</f>
        <v>1975411.6</v>
      </c>
      <c r="C4" s="19" t="str">
        <f aca="false">CHOOSE(SUMPRODUCT((Data!$A$2:$A$2227=$A4)*(Data!$E$2:$E$2227=B4)*Data!$C$2:$C$2227),"Jan","Feb","Mar","Apr","May","Jun","Jul","Aug","Sep","Oct","Nov","Dec")&amp;" "&amp;SUMPRODUCT((Data!$A$2:$A$2227=$A4)*(Data!$E$2:$E$2227=B4)*Data!$B$2:$B$2227)</f>
        <v>Jul 2026</v>
      </c>
      <c r="D4" s="18" t="n">
        <f aca="false">SUMPRODUCT(MAX((Data!$A$2:$A$2227=$A4)*Data!$F$2:$F$2227))</f>
        <v>803123.01</v>
      </c>
      <c r="E4" s="19" t="str">
        <f aca="false">CHOOSE(SUMPRODUCT((Data!$A$2:$A$2227=$A4)*(Data!$F$2:$F$2227=D4)*Data!$C$2:$C$2227),"Jan","Feb","Mar","Apr","May","Jun","Jul","Aug","Sep","Oct","Nov","Dec")&amp;" "&amp;SUMPRODUCT((Data!$A$2:$A$2227=$A4)*(Data!$F$2:$F$2227=D4)*Data!$B$2:$B$2227)</f>
        <v>Sep 2026</v>
      </c>
      <c r="F4" s="18" t="n">
        <f aca="false">SUMPRODUCT(MAX((Data!$A$2:$A$2227=$A4)*Data!$G$2:$G$2227))</f>
        <v>2716915.58</v>
      </c>
      <c r="G4" s="19" t="str">
        <f aca="false">CHOOSE(SUMPRODUCT((Data!$A$2:$A$2227=$A4)*(Data!$G$2:$G$2227=F4)*Data!$C$2:$C$2227),"Jan","Feb","Mar","Apr","May","Jun","Jul","Aug","Sep","Oct","Nov","Dec")&amp;" "&amp;SUMPRODUCT((Data!$A$2:$A$2227=$A4)*(Data!$G$2:$G$2227=F4)*Data!$B$2:$B$2227)</f>
        <v>Jul 2026</v>
      </c>
    </row>
    <row r="5" customFormat="false" ht="15" hidden="false" customHeight="false" outlineLevel="0" collapsed="false">
      <c r="A5" s="5" t="s">
        <v>10</v>
      </c>
      <c r="B5" s="6" t="n">
        <f aca="false">SUMPRODUCT(MAX((Data!$A$2:$A$2227=$A5)*Data!$E$2:$E$2227))</f>
        <v>1317663.59</v>
      </c>
      <c r="C5" s="7" t="str">
        <f aca="false">CHOOSE(SUMPRODUCT((Data!$A$2:$A$2227=$A5)*(Data!$E$2:$E$2227=B5)*Data!$C$2:$C$2227),"Jan","Feb","Mar","Apr","May","Jun","Jul","Aug","Sep","Oct","Nov","Dec")&amp;" "&amp;SUMPRODUCT((Data!$A$2:$A$2227=$A5)*(Data!$E$2:$E$2227=B5)*Data!$B$2:$B$2227)</f>
        <v>Apr 2025</v>
      </c>
      <c r="D5" s="6" t="n">
        <f aca="false">SUMPRODUCT(MAX((Data!$A$2:$A$2227=$A5)*Data!$F$2:$F$2227))</f>
        <v>835344.78</v>
      </c>
      <c r="E5" s="7" t="str">
        <f aca="false">CHOOSE(SUMPRODUCT((Data!$A$2:$A$2227=$A5)*(Data!$F$2:$F$2227=D5)*Data!$C$2:$C$2227),"Jan","Feb","Mar","Apr","May","Jun","Jul","Aug","Sep","Oct","Nov","Dec")&amp;" "&amp;SUMPRODUCT((Data!$A$2:$A$2227=$A5)*(Data!$F$2:$F$2227=D5)*Data!$B$2:$B$2227)</f>
        <v>Oct 2025</v>
      </c>
      <c r="F5" s="6" t="n">
        <f aca="false">SUMPRODUCT(MAX((Data!$A$2:$A$2227=$A5)*Data!$G$2:$G$2227))</f>
        <v>2076530.97</v>
      </c>
      <c r="G5" s="7" t="str">
        <f aca="false">CHOOSE(SUMPRODUCT((Data!$A$2:$A$2227=$A5)*(Data!$G$2:$G$2227=F5)*Data!$C$2:$C$2227),"Jan","Feb","Mar","Apr","May","Jun","Jul","Aug","Sep","Oct","Nov","Dec")&amp;" "&amp;SUMPRODUCT((Data!$A$2:$A$2227=$A5)*(Data!$G$2:$G$2227=F5)*Data!$B$2:$B$2227)</f>
        <v>Oct 2025</v>
      </c>
    </row>
    <row r="6" customFormat="false" ht="15" hidden="false" customHeight="false" outlineLevel="0" collapsed="false">
      <c r="A6" s="17" t="s">
        <v>11</v>
      </c>
      <c r="B6" s="18" t="n">
        <f aca="false">SUMPRODUCT(MAX((Data!$A$2:$A$2227=$A6)*Data!$E$2:$E$2227))</f>
        <v>1295926.82</v>
      </c>
      <c r="C6" s="19" t="str">
        <f aca="false">CHOOSE(SUMPRODUCT((Data!$A$2:$A$2227=$A6)*(Data!$E$2:$E$2227=B6)*Data!$C$2:$C$2227),"Jan","Feb","Mar","Apr","May","Jun","Jul","Aug","Sep","Oct","Nov","Dec")&amp;" "&amp;SUMPRODUCT((Data!$A$2:$A$2227=$A6)*(Data!$E$2:$E$2227=B6)*Data!$B$2:$B$2227)</f>
        <v>Jul 2026</v>
      </c>
      <c r="D6" s="18" t="n">
        <f aca="false">SUMPRODUCT(MAX((Data!$A$2:$A$2227=$A6)*Data!$F$2:$F$2227))</f>
        <v>495404.7</v>
      </c>
      <c r="E6" s="19" t="str">
        <f aca="false">CHOOSE(SUMPRODUCT((Data!$A$2:$A$2227=$A6)*(Data!$F$2:$F$2227=D6)*Data!$C$2:$C$2227),"Jan","Feb","Mar","Apr","May","Jun","Jul","Aug","Sep","Oct","Nov","Dec")&amp;" "&amp;SUMPRODUCT((Data!$A$2:$A$2227=$A6)*(Data!$F$2:$F$2227=D6)*Data!$B$2:$B$2227)</f>
        <v>Jul 2026</v>
      </c>
      <c r="F6" s="18" t="n">
        <f aca="false">SUMPRODUCT(MAX((Data!$A$2:$A$2227=$A6)*Data!$G$2:$G$2227))</f>
        <v>1791331.52</v>
      </c>
      <c r="G6" s="19" t="str">
        <f aca="false">CHOOSE(SUMPRODUCT((Data!$A$2:$A$2227=$A6)*(Data!$G$2:$G$2227=F6)*Data!$C$2:$C$2227),"Jan","Feb","Mar","Apr","May","Jun","Jul","Aug","Sep","Oct","Nov","Dec")&amp;" "&amp;SUMPRODUCT((Data!$A$2:$A$2227=$A6)*(Data!$G$2:$G$2227=F6)*Data!$B$2:$B$2227)</f>
        <v>Jul 2026</v>
      </c>
    </row>
    <row r="7" customFormat="false" ht="15" hidden="false" customHeight="false" outlineLevel="0" collapsed="false">
      <c r="A7" s="5" t="s">
        <v>12</v>
      </c>
      <c r="B7" s="6" t="n">
        <f aca="false">SUMPRODUCT(MAX((Data!$A$2:$A$2227=$A7)*Data!$E$2:$E$2227))</f>
        <v>1078560.8</v>
      </c>
      <c r="C7" s="7" t="str">
        <f aca="false">CHOOSE(SUMPRODUCT((Data!$A$2:$A$2227=$A7)*(Data!$E$2:$E$2227=B7)*Data!$C$2:$C$2227),"Jan","Feb","Mar","Apr","May","Jun","Jul","Aug","Sep","Oct","Nov","Dec")&amp;" "&amp;SUMPRODUCT((Data!$A$2:$A$2227=$A7)*(Data!$E$2:$E$2227=B7)*Data!$B$2:$B$2227)</f>
        <v>Dec 2025</v>
      </c>
      <c r="D7" s="6" t="n">
        <f aca="false">SUMPRODUCT(MAX((Data!$A$2:$A$2227=$A7)*Data!$F$2:$F$2227))</f>
        <v>591001.29</v>
      </c>
      <c r="E7" s="7" t="str">
        <f aca="false">CHOOSE(SUMPRODUCT((Data!$A$2:$A$2227=$A7)*(Data!$F$2:$F$2227=D7)*Data!$C$2:$C$2227),"Jan","Feb","Mar","Apr","May","Jun","Jul","Aug","Sep","Oct","Nov","Dec")&amp;" "&amp;SUMPRODUCT((Data!$A$2:$A$2227=$A7)*(Data!$F$2:$F$2227=D7)*Data!$B$2:$B$2227)</f>
        <v>Jul 2026</v>
      </c>
      <c r="F7" s="6" t="n">
        <f aca="false">SUMPRODUCT(MAX((Data!$A$2:$A$2227=$A7)*Data!$G$2:$G$2227))</f>
        <v>1604751.22</v>
      </c>
      <c r="G7" s="7" t="str">
        <f aca="false">CHOOSE(SUMPRODUCT((Data!$A$2:$A$2227=$A7)*(Data!$G$2:$G$2227=F7)*Data!$C$2:$C$2227),"Jan","Feb","Mar","Apr","May","Jun","Jul","Aug","Sep","Oct","Nov","Dec")&amp;" "&amp;SUMPRODUCT((Data!$A$2:$A$2227=$A7)*(Data!$G$2:$G$2227=F7)*Data!$B$2:$B$2227)</f>
        <v>Jul 2026</v>
      </c>
    </row>
    <row r="8" customFormat="false" ht="15" hidden="false" customHeight="false" outlineLevel="0" collapsed="false">
      <c r="A8" s="17" t="s">
        <v>13</v>
      </c>
      <c r="B8" s="18" t="n">
        <f aca="false">SUMPRODUCT(MAX((Data!$A$2:$A$2227=$A8)*Data!$E$2:$E$2227))</f>
        <v>783630.02</v>
      </c>
      <c r="C8" s="19" t="str">
        <f aca="false">CHOOSE(SUMPRODUCT((Data!$A$2:$A$2227=$A8)*(Data!$E$2:$E$2227=B8)*Data!$C$2:$C$2227),"Jan","Feb","Mar","Apr","May","Jun","Jul","Aug","Sep","Oct","Nov","Dec")&amp;" "&amp;SUMPRODUCT((Data!$A$2:$A$2227=$A8)*(Data!$E$2:$E$2227=B8)*Data!$B$2:$B$2227)</f>
        <v>Apr 2025</v>
      </c>
      <c r="D8" s="18" t="n">
        <f aca="false">SUMPRODUCT(MAX((Data!$A$2:$A$2227=$A8)*Data!$F$2:$F$2227))</f>
        <v>591204.67</v>
      </c>
      <c r="E8" s="19" t="str">
        <f aca="false">CHOOSE(SUMPRODUCT((Data!$A$2:$A$2227=$A8)*(Data!$F$2:$F$2227=D8)*Data!$C$2:$C$2227),"Jan","Feb","Mar","Apr","May","Jun","Jul","Aug","Sep","Oct","Nov","Dec")&amp;" "&amp;SUMPRODUCT((Data!$A$2:$A$2227=$A8)*(Data!$F$2:$F$2227=D8)*Data!$B$2:$B$2227)</f>
        <v>Oct 2025</v>
      </c>
      <c r="F8" s="18" t="n">
        <f aca="false">SUMPRODUCT(MAX((Data!$A$2:$A$2227=$A8)*Data!$G$2:$G$2227))</f>
        <v>1286777.85</v>
      </c>
      <c r="G8" s="19" t="str">
        <f aca="false">CHOOSE(SUMPRODUCT((Data!$A$2:$A$2227=$A8)*(Data!$G$2:$G$2227=F8)*Data!$C$2:$C$2227),"Jan","Feb","Mar","Apr","May","Jun","Jul","Aug","Sep","Oct","Nov","Dec")&amp;" "&amp;SUMPRODUCT((Data!$A$2:$A$2227=$A8)*(Data!$G$2:$G$2227=F8)*Data!$B$2:$B$2227)</f>
        <v>Jul 2025</v>
      </c>
    </row>
    <row r="9" customFormat="false" ht="15" hidden="false" customHeight="false" outlineLevel="0" collapsed="false">
      <c r="A9" s="5" t="s">
        <v>14</v>
      </c>
      <c r="B9" s="6" t="n">
        <f aca="false">SUMPRODUCT(MAX((Data!$A$2:$A$2227=$A9)*Data!$E$2:$E$2227))</f>
        <v>806776.87</v>
      </c>
      <c r="C9" s="7" t="str">
        <f aca="false">CHOOSE(SUMPRODUCT((Data!$A$2:$A$2227=$A9)*(Data!$E$2:$E$2227=B9)*Data!$C$2:$C$2227),"Jan","Feb","Mar","Apr","May","Jun","Jul","Aug","Sep","Oct","Nov","Dec")&amp;" "&amp;SUMPRODUCT((Data!$A$2:$A$2227=$A9)*(Data!$E$2:$E$2227=B9)*Data!$B$2:$B$2227)</f>
        <v>Mar 2025</v>
      </c>
      <c r="D9" s="6" t="n">
        <f aca="false">SUMPRODUCT(MAX((Data!$A$2:$A$2227=$A9)*Data!$F$2:$F$2227))</f>
        <v>359373.55</v>
      </c>
      <c r="E9" s="7" t="str">
        <f aca="false">CHOOSE(SUMPRODUCT((Data!$A$2:$A$2227=$A9)*(Data!$F$2:$F$2227=D9)*Data!$C$2:$C$2227),"Jan","Feb","Mar","Apr","May","Jun","Jul","Aug","Sep","Oct","Nov","Dec")&amp;" "&amp;SUMPRODUCT((Data!$A$2:$A$2227=$A9)*(Data!$F$2:$F$2227=D9)*Data!$B$2:$B$2227)</f>
        <v>Aug 2024</v>
      </c>
      <c r="F9" s="6" t="n">
        <f aca="false">SUMPRODUCT(MAX((Data!$A$2:$A$2227=$A9)*Data!$G$2:$G$2227))</f>
        <v>1152022.09</v>
      </c>
      <c r="G9" s="7" t="str">
        <f aca="false">CHOOSE(SUMPRODUCT((Data!$A$2:$A$2227=$A9)*(Data!$G$2:$G$2227=F9)*Data!$C$2:$C$2227),"Jan","Feb","Mar","Apr","May","Jun","Jul","Aug","Sep","Oct","Nov","Dec")&amp;" "&amp;SUMPRODUCT((Data!$A$2:$A$2227=$A9)*(Data!$G$2:$G$2227=F9)*Data!$B$2:$B$2227)</f>
        <v>Jul 2025</v>
      </c>
    </row>
    <row r="10" customFormat="false" ht="15" hidden="false" customHeight="false" outlineLevel="0" collapsed="false">
      <c r="A10" s="17" t="s">
        <v>15</v>
      </c>
      <c r="B10" s="18" t="n">
        <f aca="false">SUMPRODUCT(MAX((Data!$A$2:$A$2227=$A10)*Data!$E$2:$E$2227))</f>
        <v>832147</v>
      </c>
      <c r="C10" s="19" t="str">
        <f aca="false">CHOOSE(SUMPRODUCT((Data!$A$2:$A$2227=$A10)*(Data!$E$2:$E$2227=B10)*Data!$C$2:$C$2227),"Jan","Feb","Mar","Apr","May","Jun","Jul","Aug","Sep","Oct","Nov","Dec")&amp;" "&amp;SUMPRODUCT((Data!$A$2:$A$2227=$A10)*(Data!$E$2:$E$2227=B10)*Data!$B$2:$B$2227)</f>
        <v>Oct 2025</v>
      </c>
      <c r="D10" s="18" t="n">
        <f aca="false">SUMPRODUCT(MAX((Data!$A$2:$A$2227=$A10)*Data!$F$2:$F$2227))</f>
        <v>400065.85</v>
      </c>
      <c r="E10" s="19" t="str">
        <f aca="false">CHOOSE(SUMPRODUCT((Data!$A$2:$A$2227=$A10)*(Data!$F$2:$F$2227=D10)*Data!$C$2:$C$2227),"Jan","Feb","Mar","Apr","May","Jun","Jul","Aug","Sep","Oct","Nov","Dec")&amp;" "&amp;SUMPRODUCT((Data!$A$2:$A$2227=$A10)*(Data!$F$2:$F$2227=D10)*Data!$B$2:$B$2227)</f>
        <v>Oct 2025</v>
      </c>
      <c r="F10" s="18" t="n">
        <f aca="false">SUMPRODUCT(MAX((Data!$A$2:$A$2227=$A10)*Data!$G$2:$G$2227))</f>
        <v>1232212.85</v>
      </c>
      <c r="G10" s="19" t="str">
        <f aca="false">CHOOSE(SUMPRODUCT((Data!$A$2:$A$2227=$A10)*(Data!$G$2:$G$2227=F10)*Data!$C$2:$C$2227),"Jan","Feb","Mar","Apr","May","Jun","Jul","Aug","Sep","Oct","Nov","Dec")&amp;" "&amp;SUMPRODUCT((Data!$A$2:$A$2227=$A10)*(Data!$G$2:$G$2227=F10)*Data!$B$2:$B$2227)</f>
        <v>Oct 2025</v>
      </c>
    </row>
    <row r="11" customFormat="false" ht="15" hidden="false" customHeight="false" outlineLevel="0" collapsed="false">
      <c r="A11" s="5" t="s">
        <v>16</v>
      </c>
      <c r="B11" s="6" t="n">
        <f aca="false">SUMPRODUCT(MAX((Data!$A$2:$A$2227=$A11)*Data!$E$2:$E$2227))</f>
        <v>491527.94</v>
      </c>
      <c r="C11" s="7" t="str">
        <f aca="false">CHOOSE(SUMPRODUCT((Data!$A$2:$A$2227=$A11)*(Data!$E$2:$E$2227=B11)*Data!$C$2:$C$2227),"Jan","Feb","Mar","Apr","May","Jun","Jul","Aug","Sep","Oct","Nov","Dec")&amp;" "&amp;SUMPRODUCT((Data!$A$2:$A$2227=$A11)*(Data!$E$2:$E$2227=B11)*Data!$B$2:$B$2227)</f>
        <v>Sep 2026</v>
      </c>
      <c r="D11" s="6" t="n">
        <f aca="false">SUMPRODUCT(MAX((Data!$A$2:$A$2227=$A11)*Data!$F$2:$F$2227))</f>
        <v>301221.42</v>
      </c>
      <c r="E11" s="7" t="str">
        <f aca="false">CHOOSE(SUMPRODUCT((Data!$A$2:$A$2227=$A11)*(Data!$F$2:$F$2227=D11)*Data!$C$2:$C$2227),"Jan","Feb","Mar","Apr","May","Jun","Jul","Aug","Sep","Oct","Nov","Dec")&amp;" "&amp;SUMPRODUCT((Data!$A$2:$A$2227=$A11)*(Data!$F$2:$F$2227=D11)*Data!$B$2:$B$2227)</f>
        <v>Oct 2025</v>
      </c>
      <c r="F11" s="6" t="n">
        <f aca="false">SUMPRODUCT(MAX((Data!$A$2:$A$2227=$A11)*Data!$G$2:$G$2227))</f>
        <v>770405.77</v>
      </c>
      <c r="G11" s="7" t="str">
        <f aca="false">CHOOSE(SUMPRODUCT((Data!$A$2:$A$2227=$A11)*(Data!$G$2:$G$2227=F11)*Data!$C$2:$C$2227),"Jan","Feb","Mar","Apr","May","Jun","Jul","Aug","Sep","Oct","Nov","Dec")&amp;" "&amp;SUMPRODUCT((Data!$A$2:$A$2227=$A11)*(Data!$G$2:$G$2227=F11)*Data!$B$2:$B$2227)</f>
        <v>Oct 2024</v>
      </c>
    </row>
    <row r="12" customFormat="false" ht="15" hidden="false" customHeight="false" outlineLevel="0" collapsed="false">
      <c r="A12" s="17" t="s">
        <v>17</v>
      </c>
      <c r="B12" s="18" t="n">
        <f aca="false">SUMPRODUCT(MAX((Data!$A$2:$A$2227=$A12)*Data!$E$2:$E$2227))</f>
        <v>543895.05</v>
      </c>
      <c r="C12" s="19" t="str">
        <f aca="false">CHOOSE(SUMPRODUCT((Data!$A$2:$A$2227=$A12)*(Data!$E$2:$E$2227=B12)*Data!$C$2:$C$2227),"Jan","Feb","Mar","Apr","May","Jun","Jul","Aug","Sep","Oct","Nov","Dec")&amp;" "&amp;SUMPRODUCT((Data!$A$2:$A$2227=$A12)*(Data!$E$2:$E$2227=B12)*Data!$B$2:$B$2227)</f>
        <v>Jul 2026</v>
      </c>
      <c r="D12" s="18" t="n">
        <f aca="false">SUMPRODUCT(MAX((Data!$A$2:$A$2227=$A12)*Data!$F$2:$F$2227))</f>
        <v>385972.71</v>
      </c>
      <c r="E12" s="19" t="str">
        <f aca="false">CHOOSE(SUMPRODUCT((Data!$A$2:$A$2227=$A12)*(Data!$F$2:$F$2227=D12)*Data!$C$2:$C$2227),"Jan","Feb","Mar","Apr","May","Jun","Jul","Aug","Sep","Oct","Nov","Dec")&amp;" "&amp;SUMPRODUCT((Data!$A$2:$A$2227=$A12)*(Data!$F$2:$F$2227=D12)*Data!$B$2:$B$2227)</f>
        <v>Nov 2024</v>
      </c>
      <c r="F12" s="18" t="n">
        <f aca="false">SUMPRODUCT(MAX((Data!$A$2:$A$2227=$A12)*Data!$G$2:$G$2227))</f>
        <v>845454.75</v>
      </c>
      <c r="G12" s="19" t="str">
        <f aca="false">CHOOSE(SUMPRODUCT((Data!$A$2:$A$2227=$A12)*(Data!$G$2:$G$2227=F12)*Data!$C$2:$C$2227),"Jan","Feb","Mar","Apr","May","Jun","Jul","Aug","Sep","Oct","Nov","Dec")&amp;" "&amp;SUMPRODUCT((Data!$A$2:$A$2227=$A12)*(Data!$G$2:$G$2227=F12)*Data!$B$2:$B$2227)</f>
        <v>Jul 2026</v>
      </c>
    </row>
    <row r="13" customFormat="false" ht="15" hidden="false" customHeight="false" outlineLevel="0" collapsed="false">
      <c r="A13" s="5" t="s">
        <v>18</v>
      </c>
      <c r="B13" s="6" t="n">
        <f aca="false">SUMPRODUCT(MAX((Data!$A$2:$A$2227=$A13)*Data!$E$2:$E$2227))</f>
        <v>469665.4</v>
      </c>
      <c r="C13" s="7" t="str">
        <f aca="false">CHOOSE(SUMPRODUCT((Data!$A$2:$A$2227=$A13)*(Data!$E$2:$E$2227=B13)*Data!$C$2:$C$2227),"Jan","Feb","Mar","Apr","May","Jun","Jul","Aug","Sep","Oct","Nov","Dec")&amp;" "&amp;SUMPRODUCT((Data!$A$2:$A$2227=$A13)*(Data!$E$2:$E$2227=B13)*Data!$B$2:$B$2227)</f>
        <v>Jul 2026</v>
      </c>
      <c r="D13" s="6" t="n">
        <f aca="false">SUMPRODUCT(MAX((Data!$A$2:$A$2227=$A13)*Data!$F$2:$F$2227))</f>
        <v>309243.24</v>
      </c>
      <c r="E13" s="7" t="str">
        <f aca="false">CHOOSE(SUMPRODUCT((Data!$A$2:$A$2227=$A13)*(Data!$F$2:$F$2227=D13)*Data!$C$2:$C$2227),"Jan","Feb","Mar","Apr","May","Jun","Jul","Aug","Sep","Oct","Nov","Dec")&amp;" "&amp;SUMPRODUCT((Data!$A$2:$A$2227=$A13)*(Data!$F$2:$F$2227=D13)*Data!$B$2:$B$2227)</f>
        <v>Oct 2025</v>
      </c>
      <c r="F13" s="6" t="n">
        <f aca="false">SUMPRODUCT(MAX((Data!$A$2:$A$2227=$A13)*Data!$G$2:$G$2227))</f>
        <v>776705.22</v>
      </c>
      <c r="G13" s="7" t="str">
        <f aca="false">CHOOSE(SUMPRODUCT((Data!$A$2:$A$2227=$A13)*(Data!$G$2:$G$2227=F13)*Data!$C$2:$C$2227),"Jan","Feb","Mar","Apr","May","Jun","Jul","Aug","Sep","Oct","Nov","Dec")&amp;" "&amp;SUMPRODUCT((Data!$A$2:$A$2227=$A13)*(Data!$G$2:$G$2227=F13)*Data!$B$2:$B$2227)</f>
        <v>Jul 2026</v>
      </c>
    </row>
    <row r="14" customFormat="false" ht="15" hidden="false" customHeight="false" outlineLevel="0" collapsed="false">
      <c r="A14" s="17" t="s">
        <v>19</v>
      </c>
      <c r="B14" s="18" t="n">
        <f aca="false">SUMPRODUCT(MAX((Data!$A$2:$A$2227=$A14)*Data!$E$2:$E$2227))</f>
        <v>392627.87</v>
      </c>
      <c r="C14" s="19" t="str">
        <f aca="false">CHOOSE(SUMPRODUCT((Data!$A$2:$A$2227=$A14)*(Data!$E$2:$E$2227=B14)*Data!$C$2:$C$2227),"Jan","Feb","Mar","Apr","May","Jun","Jul","Aug","Sep","Oct","Nov","Dec")&amp;" "&amp;SUMPRODUCT((Data!$A$2:$A$2227=$A14)*(Data!$E$2:$E$2227=B14)*Data!$B$2:$B$2227)</f>
        <v>Sep 2026</v>
      </c>
      <c r="D14" s="18" t="n">
        <f aca="false">SUMPRODUCT(MAX((Data!$A$2:$A$2227=$A14)*Data!$F$2:$F$2227))</f>
        <v>210203.34</v>
      </c>
      <c r="E14" s="19" t="str">
        <f aca="false">CHOOSE(SUMPRODUCT((Data!$A$2:$A$2227=$A14)*(Data!$F$2:$F$2227=D14)*Data!$C$2:$C$2227),"Jan","Feb","Mar","Apr","May","Jun","Jul","Aug","Sep","Oct","Nov","Dec")&amp;" "&amp;SUMPRODUCT((Data!$A$2:$A$2227=$A14)*(Data!$F$2:$F$2227=D14)*Data!$B$2:$B$2227)</f>
        <v>Jul 2026</v>
      </c>
      <c r="F14" s="18" t="n">
        <f aca="false">SUMPRODUCT(MAX((Data!$A$2:$A$2227=$A14)*Data!$G$2:$G$2227))</f>
        <v>593000.6</v>
      </c>
      <c r="G14" s="19" t="str">
        <f aca="false">CHOOSE(SUMPRODUCT((Data!$A$2:$A$2227=$A14)*(Data!$G$2:$G$2227=F14)*Data!$C$2:$C$2227),"Jan","Feb","Mar","Apr","May","Jun","Jul","Aug","Sep","Oct","Nov","Dec")&amp;" "&amp;SUMPRODUCT((Data!$A$2:$A$2227=$A14)*(Data!$G$2:$G$2227=F14)*Data!$B$2:$B$2227)</f>
        <v>Sep 2026</v>
      </c>
    </row>
    <row r="15" customFormat="false" ht="15" hidden="false" customHeight="false" outlineLevel="0" collapsed="false">
      <c r="A15" s="5" t="s">
        <v>20</v>
      </c>
      <c r="B15" s="6" t="n">
        <f aca="false">SUMPRODUCT(MAX((Data!$A$2:$A$2227=$A15)*Data!$E$2:$E$2227))</f>
        <v>463124.14</v>
      </c>
      <c r="C15" s="7" t="str">
        <f aca="false">CHOOSE(SUMPRODUCT((Data!$A$2:$A$2227=$A15)*(Data!$E$2:$E$2227=B15)*Data!$C$2:$C$2227),"Jan","Feb","Mar","Apr","May","Jun","Jul","Aug","Sep","Oct","Nov","Dec")&amp;" "&amp;SUMPRODUCT((Data!$A$2:$A$2227=$A15)*(Data!$E$2:$E$2227=B15)*Data!$B$2:$B$2227)</f>
        <v>Apr 2026</v>
      </c>
      <c r="D15" s="6" t="n">
        <f aca="false">SUMPRODUCT(MAX((Data!$A$2:$A$2227=$A15)*Data!$F$2:$F$2227))</f>
        <v>203733.95</v>
      </c>
      <c r="E15" s="7" t="str">
        <f aca="false">CHOOSE(SUMPRODUCT((Data!$A$2:$A$2227=$A15)*(Data!$F$2:$F$2227=D15)*Data!$C$2:$C$2227),"Jan","Feb","Mar","Apr","May","Jun","Jul","Aug","Sep","Oct","Nov","Dec")&amp;" "&amp;SUMPRODUCT((Data!$A$2:$A$2227=$A15)*(Data!$F$2:$F$2227=D15)*Data!$B$2:$B$2227)</f>
        <v>Apr 2026</v>
      </c>
      <c r="F15" s="6" t="n">
        <f aca="false">SUMPRODUCT(MAX((Data!$A$2:$A$2227=$A15)*Data!$G$2:$G$2227))</f>
        <v>666858.09</v>
      </c>
      <c r="G15" s="7" t="str">
        <f aca="false">CHOOSE(SUMPRODUCT((Data!$A$2:$A$2227=$A15)*(Data!$G$2:$G$2227=F15)*Data!$C$2:$C$2227),"Jan","Feb","Mar","Apr","May","Jun","Jul","Aug","Sep","Oct","Nov","Dec")&amp;" "&amp;SUMPRODUCT((Data!$A$2:$A$2227=$A15)*(Data!$G$2:$G$2227=F15)*Data!$B$2:$B$2227)</f>
        <v>Apr 2026</v>
      </c>
    </row>
    <row r="16" customFormat="false" ht="15" hidden="false" customHeight="false" outlineLevel="0" collapsed="false">
      <c r="A16" s="17" t="s">
        <v>21</v>
      </c>
      <c r="B16" s="18" t="n">
        <f aca="false">SUMPRODUCT(MAX((Data!$A$2:$A$2227=$A16)*Data!$E$2:$E$2227))</f>
        <v>302457.71</v>
      </c>
      <c r="C16" s="19" t="str">
        <f aca="false">CHOOSE(SUMPRODUCT((Data!$A$2:$A$2227=$A16)*(Data!$E$2:$E$2227=B16)*Data!$C$2:$C$2227),"Jan","Feb","Mar","Apr","May","Jun","Jul","Aug","Sep","Oct","Nov","Dec")&amp;" "&amp;SUMPRODUCT((Data!$A$2:$A$2227=$A16)*(Data!$E$2:$E$2227=B16)*Data!$B$2:$B$2227)</f>
        <v>Sep 2026</v>
      </c>
      <c r="D16" s="18" t="n">
        <f aca="false">SUMPRODUCT(MAX((Data!$A$2:$A$2227=$A16)*Data!$F$2:$F$2227))</f>
        <v>200348.57</v>
      </c>
      <c r="E16" s="19" t="str">
        <f aca="false">CHOOSE(SUMPRODUCT((Data!$A$2:$A$2227=$A16)*(Data!$F$2:$F$2227=D16)*Data!$C$2:$C$2227),"Jan","Feb","Mar","Apr","May","Jun","Jul","Aug","Sep","Oct","Nov","Dec")&amp;" "&amp;SUMPRODUCT((Data!$A$2:$A$2227=$A16)*(Data!$F$2:$F$2227=D16)*Data!$B$2:$B$2227)</f>
        <v>Sep 2026</v>
      </c>
      <c r="F16" s="18" t="n">
        <f aca="false">SUMPRODUCT(MAX((Data!$A$2:$A$2227=$A16)*Data!$G$2:$G$2227))</f>
        <v>502806.28</v>
      </c>
      <c r="G16" s="19" t="str">
        <f aca="false">CHOOSE(SUMPRODUCT((Data!$A$2:$A$2227=$A16)*(Data!$G$2:$G$2227=F16)*Data!$C$2:$C$2227),"Jan","Feb","Mar","Apr","May","Jun","Jul","Aug","Sep","Oct","Nov","Dec")&amp;" "&amp;SUMPRODUCT((Data!$A$2:$A$2227=$A16)*(Data!$G$2:$G$2227=F16)*Data!$B$2:$B$2227)</f>
        <v>Sep 2026</v>
      </c>
    </row>
    <row r="17" customFormat="false" ht="15" hidden="false" customHeight="false" outlineLevel="0" collapsed="false">
      <c r="A17" s="5" t="s">
        <v>22</v>
      </c>
      <c r="B17" s="6" t="n">
        <f aca="false">SUMPRODUCT(MAX((Data!$A$2:$A$2227=$A17)*Data!$E$2:$E$2227))</f>
        <v>381784.3</v>
      </c>
      <c r="C17" s="7" t="str">
        <f aca="false">CHOOSE(SUMPRODUCT((Data!$A$2:$A$2227=$A17)*(Data!$E$2:$E$2227=B17)*Data!$C$2:$C$2227),"Jan","Feb","Mar","Apr","May","Jun","Jul","Aug","Sep","Oct","Nov","Dec")&amp;" "&amp;SUMPRODUCT((Data!$A$2:$A$2227=$A17)*(Data!$E$2:$E$2227=B17)*Data!$B$2:$B$2227)</f>
        <v>May 2026</v>
      </c>
      <c r="D17" s="6" t="n">
        <f aca="false">SUMPRODUCT(MAX((Data!$A$2:$A$2227=$A17)*Data!$F$2:$F$2227))</f>
        <v>175609.84</v>
      </c>
      <c r="E17" s="7" t="str">
        <f aca="false">CHOOSE(SUMPRODUCT((Data!$A$2:$A$2227=$A17)*(Data!$F$2:$F$2227=D17)*Data!$C$2:$C$2227),"Jan","Feb","Mar","Apr","May","Jun","Jul","Aug","Sep","Oct","Nov","Dec")&amp;" "&amp;SUMPRODUCT((Data!$A$2:$A$2227=$A17)*(Data!$F$2:$F$2227=D17)*Data!$B$2:$B$2227)</f>
        <v>Oct 2023</v>
      </c>
      <c r="F17" s="6" t="n">
        <f aca="false">SUMPRODUCT(MAX((Data!$A$2:$A$2227=$A17)*Data!$G$2:$G$2227))</f>
        <v>531869.48</v>
      </c>
      <c r="G17" s="7" t="str">
        <f aca="false">CHOOSE(SUMPRODUCT((Data!$A$2:$A$2227=$A17)*(Data!$G$2:$G$2227=F17)*Data!$C$2:$C$2227),"Jan","Feb","Mar","Apr","May","Jun","Jul","Aug","Sep","Oct","Nov","Dec")&amp;" "&amp;SUMPRODUCT((Data!$A$2:$A$2227=$A17)*(Data!$G$2:$G$2227=F17)*Data!$B$2:$B$2227)</f>
        <v>Mar 2026</v>
      </c>
    </row>
    <row r="18" customFormat="false" ht="15" hidden="false" customHeight="false" outlineLevel="0" collapsed="false">
      <c r="A18" s="17" t="s">
        <v>23</v>
      </c>
      <c r="B18" s="18" t="n">
        <f aca="false">SUMPRODUCT(MAX((Data!$A$2:$A$2227=$A18)*Data!$E$2:$E$2227))</f>
        <v>518472.34</v>
      </c>
      <c r="C18" s="19" t="str">
        <f aca="false">CHOOSE(SUMPRODUCT((Data!$A$2:$A$2227=$A18)*(Data!$E$2:$E$2227=B18)*Data!$C$2:$C$2227),"Jan","Feb","Mar","Apr","May","Jun","Jul","Aug","Sep","Oct","Nov","Dec")&amp;" "&amp;SUMPRODUCT((Data!$A$2:$A$2227=$A18)*(Data!$E$2:$E$2227=B18)*Data!$B$2:$B$2227)</f>
        <v>Aug 2025</v>
      </c>
      <c r="D18" s="18" t="n">
        <f aca="false">SUMPRODUCT(MAX((Data!$A$2:$A$2227=$A18)*Data!$F$2:$F$2227))</f>
        <v>234188.62</v>
      </c>
      <c r="E18" s="19" t="str">
        <f aca="false">CHOOSE(SUMPRODUCT((Data!$A$2:$A$2227=$A18)*(Data!$F$2:$F$2227=D18)*Data!$C$2:$C$2227),"Jan","Feb","Mar","Apr","May","Jun","Jul","Aug","Sep","Oct","Nov","Dec")&amp;" "&amp;SUMPRODUCT((Data!$A$2:$A$2227=$A18)*(Data!$F$2:$F$2227=D18)*Data!$B$2:$B$2227)</f>
        <v>Aug 2022</v>
      </c>
      <c r="F18" s="18" t="n">
        <f aca="false">SUMPRODUCT(MAX((Data!$A$2:$A$2227=$A18)*Data!$G$2:$G$2227))</f>
        <v>684367.38</v>
      </c>
      <c r="G18" s="19" t="str">
        <f aca="false">CHOOSE(SUMPRODUCT((Data!$A$2:$A$2227=$A18)*(Data!$G$2:$G$2227=F18)*Data!$C$2:$C$2227),"Jan","Feb","Mar","Apr","May","Jun","Jul","Aug","Sep","Oct","Nov","Dec")&amp;" "&amp;SUMPRODUCT((Data!$A$2:$A$2227=$A18)*(Data!$G$2:$G$2227=F18)*Data!$B$2:$B$2227)</f>
        <v>Aug 2025</v>
      </c>
    </row>
    <row r="19" customFormat="false" ht="15" hidden="false" customHeight="false" outlineLevel="0" collapsed="false">
      <c r="A19" s="5" t="s">
        <v>24</v>
      </c>
      <c r="B19" s="6" t="n">
        <f aca="false">SUMPRODUCT(MAX((Data!$A$2:$A$2227=$A19)*Data!$E$2:$E$2227))</f>
        <v>386279.04</v>
      </c>
      <c r="C19" s="7" t="str">
        <f aca="false">CHOOSE(SUMPRODUCT((Data!$A$2:$A$2227=$A19)*(Data!$E$2:$E$2227=B19)*Data!$C$2:$C$2227),"Jan","Feb","Mar","Apr","May","Jun","Jul","Aug","Sep","Oct","Nov","Dec")&amp;" "&amp;SUMPRODUCT((Data!$A$2:$A$2227=$A19)*(Data!$E$2:$E$2227=B19)*Data!$B$2:$B$2227)</f>
        <v>Apr 2025</v>
      </c>
      <c r="D19" s="6" t="n">
        <f aca="false">SUMPRODUCT(MAX((Data!$A$2:$A$2227=$A19)*Data!$F$2:$F$2227))</f>
        <v>198833.53</v>
      </c>
      <c r="E19" s="7" t="str">
        <f aca="false">CHOOSE(SUMPRODUCT((Data!$A$2:$A$2227=$A19)*(Data!$F$2:$F$2227=D19)*Data!$C$2:$C$2227),"Jan","Feb","Mar","Apr","May","Jun","Jul","Aug","Sep","Oct","Nov","Dec")&amp;" "&amp;SUMPRODUCT((Data!$A$2:$A$2227=$A19)*(Data!$F$2:$F$2227=D19)*Data!$B$2:$B$2227)</f>
        <v>Oct 2025</v>
      </c>
      <c r="F19" s="6" t="n">
        <f aca="false">SUMPRODUCT(MAX((Data!$A$2:$A$2227=$A19)*Data!$G$2:$G$2227))</f>
        <v>569819.2</v>
      </c>
      <c r="G19" s="7" t="str">
        <f aca="false">CHOOSE(SUMPRODUCT((Data!$A$2:$A$2227=$A19)*(Data!$G$2:$G$2227=F19)*Data!$C$2:$C$2227),"Jan","Feb","Mar","Apr","May","Jun","Jul","Aug","Sep","Oct","Nov","Dec")&amp;" "&amp;SUMPRODUCT((Data!$A$2:$A$2227=$A19)*(Data!$G$2:$G$2227=F19)*Data!$B$2:$B$2227)</f>
        <v>Aug 2024</v>
      </c>
    </row>
    <row r="20" customFormat="false" ht="15" hidden="false" customHeight="false" outlineLevel="0" collapsed="false">
      <c r="A20" s="17" t="s">
        <v>25</v>
      </c>
      <c r="B20" s="18" t="n">
        <f aca="false">SUMPRODUCT(MAX((Data!$A$2:$A$2227=$A20)*Data!$E$2:$E$2227))</f>
        <v>360403.34</v>
      </c>
      <c r="C20" s="19" t="str">
        <f aca="false">CHOOSE(SUMPRODUCT((Data!$A$2:$A$2227=$A20)*(Data!$E$2:$E$2227=B20)*Data!$C$2:$C$2227),"Jan","Feb","Mar","Apr","May","Jun","Jul","Aug","Sep","Oct","Nov","Dec")&amp;" "&amp;SUMPRODUCT((Data!$A$2:$A$2227=$A20)*(Data!$E$2:$E$2227=B20)*Data!$B$2:$B$2227)</f>
        <v>Jul 2026</v>
      </c>
      <c r="D20" s="18" t="n">
        <f aca="false">SUMPRODUCT(MAX((Data!$A$2:$A$2227=$A20)*Data!$F$2:$F$2227))</f>
        <v>181696.14</v>
      </c>
      <c r="E20" s="19" t="str">
        <f aca="false">CHOOSE(SUMPRODUCT((Data!$A$2:$A$2227=$A20)*(Data!$F$2:$F$2227=D20)*Data!$C$2:$C$2227),"Jan","Feb","Mar","Apr","May","Jun","Jul","Aug","Sep","Oct","Nov","Dec")&amp;" "&amp;SUMPRODUCT((Data!$A$2:$A$2227=$A20)*(Data!$F$2:$F$2227=D20)*Data!$B$2:$B$2227)</f>
        <v>Jul 2026</v>
      </c>
      <c r="F20" s="18" t="n">
        <f aca="false">SUMPRODUCT(MAX((Data!$A$2:$A$2227=$A20)*Data!$G$2:$G$2227))</f>
        <v>542099.48</v>
      </c>
      <c r="G20" s="19" t="str">
        <f aca="false">CHOOSE(SUMPRODUCT((Data!$A$2:$A$2227=$A20)*(Data!$G$2:$G$2227=F20)*Data!$C$2:$C$2227),"Jan","Feb","Mar","Apr","May","Jun","Jul","Aug","Sep","Oct","Nov","Dec")&amp;" "&amp;SUMPRODUCT((Data!$A$2:$A$2227=$A20)*(Data!$G$2:$G$2227=F20)*Data!$B$2:$B$2227)</f>
        <v>Jul 2026</v>
      </c>
    </row>
    <row r="21" customFormat="false" ht="15" hidden="false" customHeight="false" outlineLevel="0" collapsed="false">
      <c r="A21" s="5" t="s">
        <v>26</v>
      </c>
      <c r="B21" s="6" t="n">
        <f aca="false">SUMPRODUCT(MAX((Data!$A$2:$A$2227=$A21)*Data!$E$2:$E$2227))</f>
        <v>342497.71</v>
      </c>
      <c r="C21" s="7" t="str">
        <f aca="false">CHOOSE(SUMPRODUCT((Data!$A$2:$A$2227=$A21)*(Data!$E$2:$E$2227=B21)*Data!$C$2:$C$2227),"Jan","Feb","Mar","Apr","May","Jun","Jul","Aug","Sep","Oct","Nov","Dec")&amp;" "&amp;SUMPRODUCT((Data!$A$2:$A$2227=$A21)*(Data!$E$2:$E$2227=B21)*Data!$B$2:$B$2227)</f>
        <v>May 2026</v>
      </c>
      <c r="D21" s="6" t="n">
        <f aca="false">SUMPRODUCT(MAX((Data!$A$2:$A$2227=$A21)*Data!$F$2:$F$2227))</f>
        <v>154156.02</v>
      </c>
      <c r="E21" s="7" t="str">
        <f aca="false">CHOOSE(SUMPRODUCT((Data!$A$2:$A$2227=$A21)*(Data!$F$2:$F$2227=D21)*Data!$C$2:$C$2227),"Jan","Feb","Mar","Apr","May","Jun","Jul","Aug","Sep","Oct","Nov","Dec")&amp;" "&amp;SUMPRODUCT((Data!$A$2:$A$2227=$A21)*(Data!$F$2:$F$2227=D21)*Data!$B$2:$B$2227)</f>
        <v>May 2026</v>
      </c>
      <c r="F21" s="6" t="n">
        <f aca="false">SUMPRODUCT(MAX((Data!$A$2:$A$2227=$A21)*Data!$G$2:$G$2227))</f>
        <v>496653.73</v>
      </c>
      <c r="G21" s="7" t="str">
        <f aca="false">CHOOSE(SUMPRODUCT((Data!$A$2:$A$2227=$A21)*(Data!$G$2:$G$2227=F21)*Data!$C$2:$C$2227),"Jan","Feb","Mar","Apr","May","Jun","Jul","Aug","Sep","Oct","Nov","Dec")&amp;" "&amp;SUMPRODUCT((Data!$A$2:$A$2227=$A21)*(Data!$G$2:$G$2227=F21)*Data!$B$2:$B$2227)</f>
        <v>May 2026</v>
      </c>
    </row>
    <row r="22" customFormat="false" ht="15" hidden="false" customHeight="false" outlineLevel="0" collapsed="false">
      <c r="A22" s="17" t="s">
        <v>27</v>
      </c>
      <c r="B22" s="18" t="n">
        <f aca="false">SUMPRODUCT(MAX((Data!$A$2:$A$2227=$A22)*Data!$E$2:$E$2227))</f>
        <v>424011.61</v>
      </c>
      <c r="C22" s="19" t="str">
        <f aca="false">CHOOSE(SUMPRODUCT((Data!$A$2:$A$2227=$A22)*(Data!$E$2:$E$2227=B22)*Data!$C$2:$C$2227),"Jan","Feb","Mar","Apr","May","Jun","Jul","Aug","Sep","Oct","Nov","Dec")&amp;" "&amp;SUMPRODUCT((Data!$A$2:$A$2227=$A22)*(Data!$E$2:$E$2227=B22)*Data!$B$2:$B$2227)</f>
        <v>Oct 2024</v>
      </c>
      <c r="D22" s="18" t="n">
        <f aca="false">SUMPRODUCT(MAX((Data!$A$2:$A$2227=$A22)*Data!$F$2:$F$2227))</f>
        <v>276952.53</v>
      </c>
      <c r="E22" s="19" t="str">
        <f aca="false">CHOOSE(SUMPRODUCT((Data!$A$2:$A$2227=$A22)*(Data!$F$2:$F$2227=D22)*Data!$C$2:$C$2227),"Jan","Feb","Mar","Apr","May","Jun","Jul","Aug","Sep","Oct","Nov","Dec")&amp;" "&amp;SUMPRODUCT((Data!$A$2:$A$2227=$A22)*(Data!$F$2:$F$2227=D22)*Data!$B$2:$B$2227)</f>
        <v>Oct 2024</v>
      </c>
      <c r="F22" s="18" t="n">
        <f aca="false">SUMPRODUCT(MAX((Data!$A$2:$A$2227=$A22)*Data!$G$2:$G$2227))</f>
        <v>700964.14</v>
      </c>
      <c r="G22" s="19" t="str">
        <f aca="false">CHOOSE(SUMPRODUCT((Data!$A$2:$A$2227=$A22)*(Data!$G$2:$G$2227=F22)*Data!$C$2:$C$2227),"Jan","Feb","Mar","Apr","May","Jun","Jul","Aug","Sep","Oct","Nov","Dec")&amp;" "&amp;SUMPRODUCT((Data!$A$2:$A$2227=$A22)*(Data!$G$2:$G$2227=F22)*Data!$B$2:$B$2227)</f>
        <v>Oct 2024</v>
      </c>
    </row>
    <row r="23" customFormat="false" ht="15" hidden="false" customHeight="false" outlineLevel="0" collapsed="false">
      <c r="A23" s="5" t="s">
        <v>28</v>
      </c>
      <c r="B23" s="6" t="n">
        <f aca="false">SUMPRODUCT(MAX((Data!$A$2:$A$2227=$A23)*Data!$E$2:$E$2227))</f>
        <v>281292.55</v>
      </c>
      <c r="C23" s="7" t="str">
        <f aca="false">CHOOSE(SUMPRODUCT((Data!$A$2:$A$2227=$A23)*(Data!$E$2:$E$2227=B23)*Data!$C$2:$C$2227),"Jan","Feb","Mar","Apr","May","Jun","Jul","Aug","Sep","Oct","Nov","Dec")&amp;" "&amp;SUMPRODUCT((Data!$A$2:$A$2227=$A23)*(Data!$E$2:$E$2227=B23)*Data!$B$2:$B$2227)</f>
        <v>Sep 2026</v>
      </c>
      <c r="D23" s="6" t="n">
        <f aca="false">SUMPRODUCT(MAX((Data!$A$2:$A$2227=$A23)*Data!$F$2:$F$2227))</f>
        <v>173232.36</v>
      </c>
      <c r="E23" s="7" t="str">
        <f aca="false">CHOOSE(SUMPRODUCT((Data!$A$2:$A$2227=$A23)*(Data!$F$2:$F$2227=D23)*Data!$C$2:$C$2227),"Jan","Feb","Mar","Apr","May","Jun","Jul","Aug","Sep","Oct","Nov","Dec")&amp;" "&amp;SUMPRODUCT((Data!$A$2:$A$2227=$A23)*(Data!$F$2:$F$2227=D23)*Data!$B$2:$B$2227)</f>
        <v>Jul 2026</v>
      </c>
      <c r="F23" s="6" t="n">
        <f aca="false">SUMPRODUCT(MAX((Data!$A$2:$A$2227=$A23)*Data!$G$2:$G$2227))</f>
        <v>433946.58</v>
      </c>
      <c r="G23" s="7" t="str">
        <f aca="false">CHOOSE(SUMPRODUCT((Data!$A$2:$A$2227=$A23)*(Data!$G$2:$G$2227=F23)*Data!$C$2:$C$2227),"Jan","Feb","Mar","Apr","May","Jun","Jul","Aug","Sep","Oct","Nov","Dec")&amp;" "&amp;SUMPRODUCT((Data!$A$2:$A$2227=$A23)*(Data!$G$2:$G$2227=F23)*Data!$B$2:$B$2227)</f>
        <v>Jul 2026</v>
      </c>
    </row>
    <row r="24" customFormat="false" ht="15" hidden="false" customHeight="false" outlineLevel="0" collapsed="false">
      <c r="A24" s="17" t="s">
        <v>29</v>
      </c>
      <c r="B24" s="18" t="n">
        <f aca="false">SUMPRODUCT(MAX((Data!$A$2:$A$2227=$A24)*Data!$E$2:$E$2227))</f>
        <v>304953.94</v>
      </c>
      <c r="C24" s="19" t="str">
        <f aca="false">CHOOSE(SUMPRODUCT((Data!$A$2:$A$2227=$A24)*(Data!$E$2:$E$2227=B24)*Data!$C$2:$C$2227),"Jan","Feb","Mar","Apr","May","Jun","Jul","Aug","Sep","Oct","Nov","Dec")&amp;" "&amp;SUMPRODUCT((Data!$A$2:$A$2227=$A24)*(Data!$E$2:$E$2227=B24)*Data!$B$2:$B$2227)</f>
        <v>Jun 2026</v>
      </c>
      <c r="D24" s="18" t="n">
        <f aca="false">SUMPRODUCT(MAX((Data!$A$2:$A$2227=$A24)*Data!$F$2:$F$2227))</f>
        <v>216263.83</v>
      </c>
      <c r="E24" s="19" t="str">
        <f aca="false">CHOOSE(SUMPRODUCT((Data!$A$2:$A$2227=$A24)*(Data!$F$2:$F$2227=D24)*Data!$C$2:$C$2227),"Jan","Feb","Mar","Apr","May","Jun","Jul","Aug","Sep","Oct","Nov","Dec")&amp;" "&amp;SUMPRODUCT((Data!$A$2:$A$2227=$A24)*(Data!$F$2:$F$2227=D24)*Data!$B$2:$B$2227)</f>
        <v>Aug 2024</v>
      </c>
      <c r="F24" s="18" t="n">
        <f aca="false">SUMPRODUCT(MAX((Data!$A$2:$A$2227=$A24)*Data!$G$2:$G$2227))</f>
        <v>504417</v>
      </c>
      <c r="G24" s="19" t="str">
        <f aca="false">CHOOSE(SUMPRODUCT((Data!$A$2:$A$2227=$A24)*(Data!$G$2:$G$2227=F24)*Data!$C$2:$C$2227),"Jan","Feb","Mar","Apr","May","Jun","Jul","Aug","Sep","Oct","Nov","Dec")&amp;" "&amp;SUMPRODUCT((Data!$A$2:$A$2227=$A24)*(Data!$G$2:$G$2227=F24)*Data!$B$2:$B$2227)</f>
        <v>Aug 2024</v>
      </c>
    </row>
    <row r="25" customFormat="false" ht="15" hidden="false" customHeight="false" outlineLevel="0" collapsed="false">
      <c r="A25" s="5" t="s">
        <v>30</v>
      </c>
      <c r="B25" s="6" t="n">
        <f aca="false">SUMPRODUCT(MAX((Data!$A$2:$A$2227=$A25)*Data!$E$2:$E$2227))</f>
        <v>311914.99</v>
      </c>
      <c r="C25" s="7" t="str">
        <f aca="false">CHOOSE(SUMPRODUCT((Data!$A$2:$A$2227=$A25)*(Data!$E$2:$E$2227=B25)*Data!$C$2:$C$2227),"Jan","Feb","Mar","Apr","May","Jun","Jul","Aug","Sep","Oct","Nov","Dec")&amp;" "&amp;SUMPRODUCT((Data!$A$2:$A$2227=$A25)*(Data!$E$2:$E$2227=B25)*Data!$B$2:$B$2227)</f>
        <v>Jul 2026</v>
      </c>
      <c r="D25" s="6" t="n">
        <f aca="false">SUMPRODUCT(MAX((Data!$A$2:$A$2227=$A25)*Data!$F$2:$F$2227))</f>
        <v>191146.29</v>
      </c>
      <c r="E25" s="7" t="str">
        <f aca="false">CHOOSE(SUMPRODUCT((Data!$A$2:$A$2227=$A25)*(Data!$F$2:$F$2227=D25)*Data!$C$2:$C$2227),"Jan","Feb","Mar","Apr","May","Jun","Jul","Aug","Sep","Oct","Nov","Dec")&amp;" "&amp;SUMPRODUCT((Data!$A$2:$A$2227=$A25)*(Data!$F$2:$F$2227=D25)*Data!$B$2:$B$2227)</f>
        <v>Oct 2021</v>
      </c>
      <c r="F25" s="6" t="n">
        <f aca="false">SUMPRODUCT(MAX((Data!$A$2:$A$2227=$A25)*Data!$G$2:$G$2227))</f>
        <v>481008.81</v>
      </c>
      <c r="G25" s="7" t="str">
        <f aca="false">CHOOSE(SUMPRODUCT((Data!$A$2:$A$2227=$A25)*(Data!$G$2:$G$2227=F25)*Data!$C$2:$C$2227),"Jan","Feb","Mar","Apr","May","Jun","Jul","Aug","Sep","Oct","Nov","Dec")&amp;" "&amp;SUMPRODUCT((Data!$A$2:$A$2227=$A25)*(Data!$G$2:$G$2227=F25)*Data!$B$2:$B$2227)</f>
        <v>Jul 2026</v>
      </c>
    </row>
    <row r="26" customFormat="false" ht="15" hidden="false" customHeight="false" outlineLevel="0" collapsed="false">
      <c r="A26" s="17" t="s">
        <v>31</v>
      </c>
      <c r="B26" s="18" t="n">
        <f aca="false">SUMPRODUCT(MAX((Data!$A$2:$A$2227=$A26)*Data!$E$2:$E$2227))</f>
        <v>270153.94</v>
      </c>
      <c r="C26" s="19" t="str">
        <f aca="false">CHOOSE(SUMPRODUCT((Data!$A$2:$A$2227=$A26)*(Data!$E$2:$E$2227=B26)*Data!$C$2:$C$2227),"Jan","Feb","Mar","Apr","May","Jun","Jul","Aug","Sep","Oct","Nov","Dec")&amp;" "&amp;SUMPRODUCT((Data!$A$2:$A$2227=$A26)*(Data!$E$2:$E$2227=B26)*Data!$B$2:$B$2227)</f>
        <v>Mar 2026</v>
      </c>
      <c r="D26" s="18" t="n">
        <f aca="false">SUMPRODUCT(MAX((Data!$A$2:$A$2227=$A26)*Data!$F$2:$F$2227))</f>
        <v>174470.39</v>
      </c>
      <c r="E26" s="19" t="str">
        <f aca="false">CHOOSE(SUMPRODUCT((Data!$A$2:$A$2227=$A26)*(Data!$F$2:$F$2227=D26)*Data!$C$2:$C$2227),"Jan","Feb","Mar","Apr","May","Jun","Jul","Aug","Sep","Oct","Nov","Dec")&amp;" "&amp;SUMPRODUCT((Data!$A$2:$A$2227=$A26)*(Data!$F$2:$F$2227=D26)*Data!$B$2:$B$2227)</f>
        <v>Jun 2026</v>
      </c>
      <c r="F26" s="18" t="n">
        <f aca="false">SUMPRODUCT(MAX((Data!$A$2:$A$2227=$A26)*Data!$G$2:$G$2227))</f>
        <v>437894.77</v>
      </c>
      <c r="G26" s="19" t="str">
        <f aca="false">CHOOSE(SUMPRODUCT((Data!$A$2:$A$2227=$A26)*(Data!$G$2:$G$2227=F26)*Data!$C$2:$C$2227),"Jan","Feb","Mar","Apr","May","Jun","Jul","Aug","Sep","Oct","Nov","Dec")&amp;" "&amp;SUMPRODUCT((Data!$A$2:$A$2227=$A26)*(Data!$G$2:$G$2227=F26)*Data!$B$2:$B$2227)</f>
        <v>Jun 2026</v>
      </c>
    </row>
    <row r="27" customFormat="false" ht="15" hidden="false" customHeight="false" outlineLevel="0" collapsed="false">
      <c r="A27" s="5" t="s">
        <v>32</v>
      </c>
      <c r="B27" s="6" t="n">
        <f aca="false">SUMPRODUCT(MAX((Data!$A$2:$A$2227=$A27)*Data!$E$2:$E$2227))</f>
        <v>262460.99</v>
      </c>
      <c r="C27" s="7" t="str">
        <f aca="false">CHOOSE(SUMPRODUCT((Data!$A$2:$A$2227=$A27)*(Data!$E$2:$E$2227=B27)*Data!$C$2:$C$2227),"Jan","Feb","Mar","Apr","May","Jun","Jul","Aug","Sep","Oct","Nov","Dec")&amp;" "&amp;SUMPRODUCT((Data!$A$2:$A$2227=$A27)*(Data!$E$2:$E$2227=B27)*Data!$B$2:$B$2227)</f>
        <v>Sep 2026</v>
      </c>
      <c r="D27" s="6" t="n">
        <f aca="false">SUMPRODUCT(MAX((Data!$A$2:$A$2227=$A27)*Data!$F$2:$F$2227))</f>
        <v>115703.54</v>
      </c>
      <c r="E27" s="7" t="str">
        <f aca="false">CHOOSE(SUMPRODUCT((Data!$A$2:$A$2227=$A27)*(Data!$F$2:$F$2227=D27)*Data!$C$2:$C$2227),"Jan","Feb","Mar","Apr","May","Jun","Jul","Aug","Sep","Oct","Nov","Dec")&amp;" "&amp;SUMPRODUCT((Data!$A$2:$A$2227=$A27)*(Data!$F$2:$F$2227=D27)*Data!$B$2:$B$2227)</f>
        <v>Mar 2026</v>
      </c>
      <c r="F27" s="6" t="n">
        <f aca="false">SUMPRODUCT(MAX((Data!$A$2:$A$2227=$A27)*Data!$G$2:$G$2227))</f>
        <v>369333.19</v>
      </c>
      <c r="G27" s="7" t="str">
        <f aca="false">CHOOSE(SUMPRODUCT((Data!$A$2:$A$2227=$A27)*(Data!$G$2:$G$2227=F27)*Data!$C$2:$C$2227),"Jan","Feb","Mar","Apr","May","Jun","Jul","Aug","Sep","Oct","Nov","Dec")&amp;" "&amp;SUMPRODUCT((Data!$A$2:$A$2227=$A27)*(Data!$G$2:$G$2227=F27)*Data!$B$2:$B$2227)</f>
        <v>Sep 2026</v>
      </c>
    </row>
    <row r="28" customFormat="false" ht="15" hidden="false" customHeight="false" outlineLevel="0" collapsed="false">
      <c r="A28" s="17" t="s">
        <v>33</v>
      </c>
      <c r="B28" s="18" t="n">
        <f aca="false">SUMPRODUCT(MAX((Data!$A$2:$A$2227=$A28)*Data!$E$2:$E$2227))</f>
        <v>196163.17</v>
      </c>
      <c r="C28" s="19" t="str">
        <f aca="false">CHOOSE(SUMPRODUCT((Data!$A$2:$A$2227=$A28)*(Data!$E$2:$E$2227=B28)*Data!$C$2:$C$2227),"Jan","Feb","Mar","Apr","May","Jun","Jul","Aug","Sep","Oct","Nov","Dec")&amp;" "&amp;SUMPRODUCT((Data!$A$2:$A$2227=$A28)*(Data!$E$2:$E$2227=B28)*Data!$B$2:$B$2227)</f>
        <v>Oct 2025</v>
      </c>
      <c r="D28" s="18" t="n">
        <f aca="false">SUMPRODUCT(MAX((Data!$A$2:$A$2227=$A28)*Data!$F$2:$F$2227))</f>
        <v>167767.17</v>
      </c>
      <c r="E28" s="19" t="str">
        <f aca="false">CHOOSE(SUMPRODUCT((Data!$A$2:$A$2227=$A28)*(Data!$F$2:$F$2227=D28)*Data!$C$2:$C$2227),"Jan","Feb","Mar","Apr","May","Jun","Jul","Aug","Sep","Oct","Nov","Dec")&amp;" "&amp;SUMPRODUCT((Data!$A$2:$A$2227=$A28)*(Data!$F$2:$F$2227=D28)*Data!$B$2:$B$2227)</f>
        <v>Apr 2025</v>
      </c>
      <c r="F28" s="18" t="n">
        <f aca="false">SUMPRODUCT(MAX((Data!$A$2:$A$2227=$A28)*Data!$G$2:$G$2227))</f>
        <v>354141.44</v>
      </c>
      <c r="G28" s="19" t="str">
        <f aca="false">CHOOSE(SUMPRODUCT((Data!$A$2:$A$2227=$A28)*(Data!$G$2:$G$2227=F28)*Data!$C$2:$C$2227),"Jan","Feb","Mar","Apr","May","Jun","Jul","Aug","Sep","Oct","Nov","Dec")&amp;" "&amp;SUMPRODUCT((Data!$A$2:$A$2227=$A28)*(Data!$G$2:$G$2227=F28)*Data!$B$2:$B$2227)</f>
        <v>Apr 2026</v>
      </c>
    </row>
    <row r="29" customFormat="false" ht="15" hidden="false" customHeight="false" outlineLevel="0" collapsed="false">
      <c r="A29" s="5" t="s">
        <v>34</v>
      </c>
      <c r="B29" s="6" t="n">
        <f aca="false">SUMPRODUCT(MAX((Data!$A$2:$A$2227=$A29)*Data!$E$2:$E$2227))</f>
        <v>353275.54</v>
      </c>
      <c r="C29" s="7" t="str">
        <f aca="false">CHOOSE(SUMPRODUCT((Data!$A$2:$A$2227=$A29)*(Data!$E$2:$E$2227=B29)*Data!$C$2:$C$2227),"Jan","Feb","Mar","Apr","May","Jun","Jul","Aug","Sep","Oct","Nov","Dec")&amp;" "&amp;SUMPRODUCT((Data!$A$2:$A$2227=$A29)*(Data!$E$2:$E$2227=B29)*Data!$B$2:$B$2227)</f>
        <v>Jan 2025</v>
      </c>
      <c r="D29" s="6" t="n">
        <f aca="false">SUMPRODUCT(MAX((Data!$A$2:$A$2227=$A29)*Data!$F$2:$F$2227))</f>
        <v>214183.42</v>
      </c>
      <c r="E29" s="7" t="str">
        <f aca="false">CHOOSE(SUMPRODUCT((Data!$A$2:$A$2227=$A29)*(Data!$F$2:$F$2227=D29)*Data!$C$2:$C$2227),"Jan","Feb","Mar","Apr","May","Jun","Jul","Aug","Sep","Oct","Nov","Dec")&amp;" "&amp;SUMPRODUCT((Data!$A$2:$A$2227=$A29)*(Data!$F$2:$F$2227=D29)*Data!$B$2:$B$2227)</f>
        <v>Aug 2024</v>
      </c>
      <c r="F29" s="6" t="n">
        <f aca="false">SUMPRODUCT(MAX((Data!$A$2:$A$2227=$A29)*Data!$G$2:$G$2227))</f>
        <v>566830.23</v>
      </c>
      <c r="G29" s="7" t="str">
        <f aca="false">CHOOSE(SUMPRODUCT((Data!$A$2:$A$2227=$A29)*(Data!$G$2:$G$2227=F29)*Data!$C$2:$C$2227),"Jan","Feb","Mar","Apr","May","Jun","Jul","Aug","Sep","Oct","Nov","Dec")&amp;" "&amp;SUMPRODUCT((Data!$A$2:$A$2227=$A29)*(Data!$G$2:$G$2227=F29)*Data!$B$2:$B$2227)</f>
        <v>Jan 2025</v>
      </c>
    </row>
    <row r="30" customFormat="false" ht="15" hidden="false" customHeight="false" outlineLevel="0" collapsed="false">
      <c r="A30" s="17" t="s">
        <v>35</v>
      </c>
      <c r="B30" s="18" t="n">
        <f aca="false">SUMPRODUCT(MAX((Data!$A$2:$A$2227=$A30)*Data!$E$2:$E$2227))</f>
        <v>187252.61</v>
      </c>
      <c r="C30" s="19" t="str">
        <f aca="false">CHOOSE(SUMPRODUCT((Data!$A$2:$A$2227=$A30)*(Data!$E$2:$E$2227=B30)*Data!$C$2:$C$2227),"Jan","Feb","Mar","Apr","May","Jun","Jul","Aug","Sep","Oct","Nov","Dec")&amp;" "&amp;SUMPRODUCT((Data!$A$2:$A$2227=$A30)*(Data!$E$2:$E$2227=B30)*Data!$B$2:$B$2227)</f>
        <v>Jul 2026</v>
      </c>
      <c r="D30" s="18" t="n">
        <f aca="false">SUMPRODUCT(MAX((Data!$A$2:$A$2227=$A30)*Data!$F$2:$F$2227))</f>
        <v>133836.88</v>
      </c>
      <c r="E30" s="19" t="str">
        <f aca="false">CHOOSE(SUMPRODUCT((Data!$A$2:$A$2227=$A30)*(Data!$F$2:$F$2227=D30)*Data!$C$2:$C$2227),"Jan","Feb","Mar","Apr","May","Jun","Jul","Aug","Sep","Oct","Nov","Dec")&amp;" "&amp;SUMPRODUCT((Data!$A$2:$A$2227=$A30)*(Data!$F$2:$F$2227=D30)*Data!$B$2:$B$2227)</f>
        <v>Jul 2026</v>
      </c>
      <c r="F30" s="18" t="n">
        <f aca="false">SUMPRODUCT(MAX((Data!$A$2:$A$2227=$A30)*Data!$G$2:$G$2227))</f>
        <v>321089.49</v>
      </c>
      <c r="G30" s="19" t="str">
        <f aca="false">CHOOSE(SUMPRODUCT((Data!$A$2:$A$2227=$A30)*(Data!$G$2:$G$2227=F30)*Data!$C$2:$C$2227),"Jan","Feb","Mar","Apr","May","Jun","Jul","Aug","Sep","Oct","Nov","Dec")&amp;" "&amp;SUMPRODUCT((Data!$A$2:$A$2227=$A30)*(Data!$G$2:$G$2227=F30)*Data!$B$2:$B$2227)</f>
        <v>Jul 2026</v>
      </c>
    </row>
    <row r="31" customFormat="false" ht="15" hidden="false" customHeight="false" outlineLevel="0" collapsed="false">
      <c r="A31" s="5" t="s">
        <v>36</v>
      </c>
      <c r="B31" s="6" t="n">
        <f aca="false">SUMPRODUCT(MAX((Data!$A$2:$A$2227=$A31)*Data!$E$2:$E$2227))</f>
        <v>179392.89</v>
      </c>
      <c r="C31" s="7" t="str">
        <f aca="false">CHOOSE(SUMPRODUCT((Data!$A$2:$A$2227=$A31)*(Data!$E$2:$E$2227=B31)*Data!$C$2:$C$2227),"Jan","Feb","Mar","Apr","May","Jun","Jul","Aug","Sep","Oct","Nov","Dec")&amp;" "&amp;SUMPRODUCT((Data!$A$2:$A$2227=$A31)*(Data!$E$2:$E$2227=B31)*Data!$B$2:$B$2227)</f>
        <v>Sep 2026</v>
      </c>
      <c r="D31" s="6" t="n">
        <f aca="false">SUMPRODUCT(MAX((Data!$A$2:$A$2227=$A31)*Data!$F$2:$F$2227))</f>
        <v>156350.52</v>
      </c>
      <c r="E31" s="7" t="str">
        <f aca="false">CHOOSE(SUMPRODUCT((Data!$A$2:$A$2227=$A31)*(Data!$F$2:$F$2227=D31)*Data!$C$2:$C$2227),"Jan","Feb","Mar","Apr","May","Jun","Jul","Aug","Sep","Oct","Nov","Dec")&amp;" "&amp;SUMPRODUCT((Data!$A$2:$A$2227=$A31)*(Data!$F$2:$F$2227=D31)*Data!$B$2:$B$2227)</f>
        <v>Oct 2023</v>
      </c>
      <c r="F31" s="6" t="n">
        <f aca="false">SUMPRODUCT(MAX((Data!$A$2:$A$2227=$A31)*Data!$G$2:$G$2227))</f>
        <v>293058.45</v>
      </c>
      <c r="G31" s="7" t="str">
        <f aca="false">CHOOSE(SUMPRODUCT((Data!$A$2:$A$2227=$A31)*(Data!$G$2:$G$2227=F31)*Data!$C$2:$C$2227),"Jan","Feb","Mar","Apr","May","Jun","Jul","Aug","Sep","Oct","Nov","Dec")&amp;" "&amp;SUMPRODUCT((Data!$A$2:$A$2227=$A31)*(Data!$G$2:$G$2227=F31)*Data!$B$2:$B$2227)</f>
        <v>Oct 2023</v>
      </c>
    </row>
    <row r="32" customFormat="false" ht="15" hidden="false" customHeight="false" outlineLevel="0" collapsed="false">
      <c r="A32" s="17" t="s">
        <v>37</v>
      </c>
      <c r="B32" s="18" t="n">
        <f aca="false">SUMPRODUCT(MAX((Data!$A$2:$A$2227=$A32)*Data!$E$2:$E$2227))</f>
        <v>181056.53</v>
      </c>
      <c r="C32" s="19" t="str">
        <f aca="false">CHOOSE(SUMPRODUCT((Data!$A$2:$A$2227=$A32)*(Data!$E$2:$E$2227=B32)*Data!$C$2:$C$2227),"Jan","Feb","Mar","Apr","May","Jun","Jul","Aug","Sep","Oct","Nov","Dec")&amp;" "&amp;SUMPRODUCT((Data!$A$2:$A$2227=$A32)*(Data!$E$2:$E$2227=B32)*Data!$B$2:$B$2227)</f>
        <v>Oct 2024</v>
      </c>
      <c r="D32" s="18" t="n">
        <f aca="false">SUMPRODUCT(MAX((Data!$A$2:$A$2227=$A32)*Data!$F$2:$F$2227))</f>
        <v>147987.17</v>
      </c>
      <c r="E32" s="19" t="str">
        <f aca="false">CHOOSE(SUMPRODUCT((Data!$A$2:$A$2227=$A32)*(Data!$F$2:$F$2227=D32)*Data!$C$2:$C$2227),"Jan","Feb","Mar","Apr","May","Jun","Jul","Aug","Sep","Oct","Nov","Dec")&amp;" "&amp;SUMPRODUCT((Data!$A$2:$A$2227=$A32)*(Data!$F$2:$F$2227=D32)*Data!$B$2:$B$2227)</f>
        <v>Apr 2026</v>
      </c>
      <c r="F32" s="18" t="n">
        <f aca="false">SUMPRODUCT(MAX((Data!$A$2:$A$2227=$A32)*Data!$G$2:$G$2227))</f>
        <v>313836.17</v>
      </c>
      <c r="G32" s="19" t="str">
        <f aca="false">CHOOSE(SUMPRODUCT((Data!$A$2:$A$2227=$A32)*(Data!$G$2:$G$2227=F32)*Data!$C$2:$C$2227),"Jan","Feb","Mar","Apr","May","Jun","Jul","Aug","Sep","Oct","Nov","Dec")&amp;" "&amp;SUMPRODUCT((Data!$A$2:$A$2227=$A32)*(Data!$G$2:$G$2227=F32)*Data!$B$2:$B$2227)</f>
        <v>Apr 2026</v>
      </c>
    </row>
    <row r="33" customFormat="false" ht="15" hidden="false" customHeight="false" outlineLevel="0" collapsed="false">
      <c r="A33" s="5" t="s">
        <v>38</v>
      </c>
      <c r="B33" s="6" t="n">
        <f aca="false">SUMPRODUCT(MAX((Data!$A$2:$A$2227=$A33)*Data!$E$2:$E$2227))</f>
        <v>203772.4</v>
      </c>
      <c r="C33" s="7" t="str">
        <f aca="false">CHOOSE(SUMPRODUCT((Data!$A$2:$A$2227=$A33)*(Data!$E$2:$E$2227=B33)*Data!$C$2:$C$2227),"Jan","Feb","Mar","Apr","May","Jun","Jul","Aug","Sep","Oct","Nov","Dec")&amp;" "&amp;SUMPRODUCT((Data!$A$2:$A$2227=$A33)*(Data!$E$2:$E$2227=B33)*Data!$B$2:$B$2227)</f>
        <v>Aug 2026</v>
      </c>
      <c r="D33" s="6" t="n">
        <f aca="false">SUMPRODUCT(MAX((Data!$A$2:$A$2227=$A33)*Data!$F$2:$F$2227))</f>
        <v>121731.12</v>
      </c>
      <c r="E33" s="7" t="str">
        <f aca="false">CHOOSE(SUMPRODUCT((Data!$A$2:$A$2227=$A33)*(Data!$F$2:$F$2227=D33)*Data!$C$2:$C$2227),"Jan","Feb","Mar","Apr","May","Jun","Jul","Aug","Sep","Oct","Nov","Dec")&amp;" "&amp;SUMPRODUCT((Data!$A$2:$A$2227=$A33)*(Data!$F$2:$F$2227=D33)*Data!$B$2:$B$2227)</f>
        <v>Aug 2024</v>
      </c>
      <c r="F33" s="6" t="n">
        <f aca="false">SUMPRODUCT(MAX((Data!$A$2:$A$2227=$A33)*Data!$G$2:$G$2227))</f>
        <v>311908.9</v>
      </c>
      <c r="G33" s="7" t="str">
        <f aca="false">CHOOSE(SUMPRODUCT((Data!$A$2:$A$2227=$A33)*(Data!$G$2:$G$2227=F33)*Data!$C$2:$C$2227),"Jan","Feb","Mar","Apr","May","Jun","Jul","Aug","Sep","Oct","Nov","Dec")&amp;" "&amp;SUMPRODUCT((Data!$A$2:$A$2227=$A33)*(Data!$G$2:$G$2227=F33)*Data!$B$2:$B$2227)</f>
        <v>Aug 2026</v>
      </c>
    </row>
    <row r="34" customFormat="false" ht="15" hidden="false" customHeight="false" outlineLevel="0" collapsed="false">
      <c r="A34" s="17" t="s">
        <v>39</v>
      </c>
      <c r="B34" s="18" t="n">
        <f aca="false">SUMPRODUCT(MAX((Data!$A$2:$A$2227=$A34)*Data!$E$2:$E$2227))</f>
        <v>144462.19</v>
      </c>
      <c r="C34" s="19" t="str">
        <f aca="false">CHOOSE(SUMPRODUCT((Data!$A$2:$A$2227=$A34)*(Data!$E$2:$E$2227=B34)*Data!$C$2:$C$2227),"Jan","Feb","Mar","Apr","May","Jun","Jul","Aug","Sep","Oct","Nov","Dec")&amp;" "&amp;SUMPRODUCT((Data!$A$2:$A$2227=$A34)*(Data!$E$2:$E$2227=B34)*Data!$B$2:$B$2227)</f>
        <v>May 2023</v>
      </c>
      <c r="D34" s="18" t="n">
        <f aca="false">SUMPRODUCT(MAX((Data!$A$2:$A$2227=$A34)*Data!$F$2:$F$2227))</f>
        <v>72308.87</v>
      </c>
      <c r="E34" s="19" t="str">
        <f aca="false">CHOOSE(SUMPRODUCT((Data!$A$2:$A$2227=$A34)*(Data!$F$2:$F$2227=D34)*Data!$C$2:$C$2227),"Jan","Feb","Mar","Apr","May","Jun","Jul","Aug","Sep","Oct","Nov","Dec")&amp;" "&amp;SUMPRODUCT((Data!$A$2:$A$2227=$A34)*(Data!$F$2:$F$2227=D34)*Data!$B$2:$B$2227)</f>
        <v>Dec 2024</v>
      </c>
      <c r="F34" s="18" t="n">
        <f aca="false">SUMPRODUCT(MAX((Data!$A$2:$A$2227=$A34)*Data!$G$2:$G$2227))</f>
        <v>206617.13</v>
      </c>
      <c r="G34" s="19" t="str">
        <f aca="false">CHOOSE(SUMPRODUCT((Data!$A$2:$A$2227=$A34)*(Data!$G$2:$G$2227=F34)*Data!$C$2:$C$2227),"Jan","Feb","Mar","Apr","May","Jun","Jul","Aug","Sep","Oct","Nov","Dec")&amp;" "&amp;SUMPRODUCT((Data!$A$2:$A$2227=$A34)*(Data!$G$2:$G$2227=F34)*Data!$B$2:$B$2227)</f>
        <v>May 2023</v>
      </c>
    </row>
    <row r="35" customFormat="false" ht="15" hidden="false" customHeight="false" outlineLevel="0" collapsed="false">
      <c r="A35" s="5" t="s">
        <v>40</v>
      </c>
      <c r="B35" s="6" t="n">
        <f aca="false">SUMPRODUCT(MAX((Data!$A$2:$A$2227=$A35)*Data!$E$2:$E$2227))</f>
        <v>142107.98</v>
      </c>
      <c r="C35" s="7" t="str">
        <f aca="false">CHOOSE(SUMPRODUCT((Data!$A$2:$A$2227=$A35)*(Data!$E$2:$E$2227=B35)*Data!$C$2:$C$2227),"Jan","Feb","Mar","Apr","May","Jun","Jul","Aug","Sep","Oct","Nov","Dec")&amp;" "&amp;SUMPRODUCT((Data!$A$2:$A$2227=$A35)*(Data!$E$2:$E$2227=B35)*Data!$B$2:$B$2227)</f>
        <v>Jul 2026</v>
      </c>
      <c r="D35" s="6" t="n">
        <f aca="false">SUMPRODUCT(MAX((Data!$A$2:$A$2227=$A35)*Data!$F$2:$F$2227))</f>
        <v>78002.06</v>
      </c>
      <c r="E35" s="7" t="str">
        <f aca="false">CHOOSE(SUMPRODUCT((Data!$A$2:$A$2227=$A35)*(Data!$F$2:$F$2227=D35)*Data!$C$2:$C$2227),"Jan","Feb","Mar","Apr","May","Jun","Jul","Aug","Sep","Oct","Nov","Dec")&amp;" "&amp;SUMPRODUCT((Data!$A$2:$A$2227=$A35)*(Data!$F$2:$F$2227=D35)*Data!$B$2:$B$2227)</f>
        <v>Feb 2026</v>
      </c>
      <c r="F35" s="6" t="n">
        <f aca="false">SUMPRODUCT(MAX((Data!$A$2:$A$2227=$A35)*Data!$G$2:$G$2227))</f>
        <v>206377.29</v>
      </c>
      <c r="G35" s="7" t="str">
        <f aca="false">CHOOSE(SUMPRODUCT((Data!$A$2:$A$2227=$A35)*(Data!$G$2:$G$2227=F35)*Data!$C$2:$C$2227),"Jan","Feb","Mar","Apr","May","Jun","Jul","Aug","Sep","Oct","Nov","Dec")&amp;" "&amp;SUMPRODUCT((Data!$A$2:$A$2227=$A35)*(Data!$G$2:$G$2227=F35)*Data!$B$2:$B$2227)</f>
        <v>Jul 2026</v>
      </c>
    </row>
    <row r="36" customFormat="false" ht="15" hidden="false" customHeight="false" outlineLevel="0" collapsed="false">
      <c r="A36" s="17" t="s">
        <v>41</v>
      </c>
      <c r="B36" s="18" t="n">
        <f aca="false">SUMPRODUCT(MAX((Data!$A$2:$A$2227=$A36)*Data!$E$2:$E$2227))</f>
        <v>102033.74</v>
      </c>
      <c r="C36" s="19" t="str">
        <f aca="false">CHOOSE(SUMPRODUCT((Data!$A$2:$A$2227=$A36)*(Data!$E$2:$E$2227=B36)*Data!$C$2:$C$2227),"Jan","Feb","Mar","Apr","May","Jun","Jul","Aug","Sep","Oct","Nov","Dec")&amp;" "&amp;SUMPRODUCT((Data!$A$2:$A$2227=$A36)*(Data!$E$2:$E$2227=B36)*Data!$B$2:$B$2227)</f>
        <v>Jan 2025</v>
      </c>
      <c r="D36" s="18" t="n">
        <f aca="false">SUMPRODUCT(MAX((Data!$A$2:$A$2227=$A36)*Data!$F$2:$F$2227))</f>
        <v>67802.44</v>
      </c>
      <c r="E36" s="19" t="str">
        <f aca="false">CHOOSE(SUMPRODUCT((Data!$A$2:$A$2227=$A36)*(Data!$F$2:$F$2227=D36)*Data!$C$2:$C$2227),"Jan","Feb","Mar","Apr","May","Jun","Jul","Aug","Sep","Oct","Nov","Dec")&amp;" "&amp;SUMPRODUCT((Data!$A$2:$A$2227=$A36)*(Data!$F$2:$F$2227=D36)*Data!$B$2:$B$2227)</f>
        <v>May 2023</v>
      </c>
      <c r="F36" s="18" t="n">
        <f aca="false">SUMPRODUCT(MAX((Data!$A$2:$A$2227=$A36)*Data!$G$2:$G$2227))</f>
        <v>167273.14</v>
      </c>
      <c r="G36" s="19" t="str">
        <f aca="false">CHOOSE(SUMPRODUCT((Data!$A$2:$A$2227=$A36)*(Data!$G$2:$G$2227=F36)*Data!$C$2:$C$2227),"Jan","Feb","Mar","Apr","May","Jun","Jul","Aug","Sep","Oct","Nov","Dec")&amp;" "&amp;SUMPRODUCT((Data!$A$2:$A$2227=$A36)*(Data!$G$2:$G$2227=F36)*Data!$B$2:$B$2227)</f>
        <v>May 2023</v>
      </c>
    </row>
    <row r="37" customFormat="false" ht="15" hidden="false" customHeight="false" outlineLevel="0" collapsed="false">
      <c r="A37" s="5" t="s">
        <v>42</v>
      </c>
      <c r="B37" s="6" t="n">
        <f aca="false">SUMPRODUCT(MAX((Data!$A$2:$A$2227=$A37)*Data!$E$2:$E$2227))</f>
        <v>41289.23</v>
      </c>
      <c r="C37" s="7" t="str">
        <f aca="false">CHOOSE(SUMPRODUCT((Data!$A$2:$A$2227=$A37)*(Data!$E$2:$E$2227=B37)*Data!$C$2:$C$2227),"Jan","Feb","Mar","Apr","May","Jun","Jul","Aug","Sep","Oct","Nov","Dec")&amp;" "&amp;SUMPRODUCT((Data!$A$2:$A$2227=$A37)*(Data!$E$2:$E$2227=B37)*Data!$B$2:$B$2227)</f>
        <v>Nov 2025</v>
      </c>
      <c r="D37" s="6" t="n">
        <f aca="false">SUMPRODUCT(MAX((Data!$A$2:$A$2227=$A37)*Data!$F$2:$F$2227))</f>
        <v>19564.01</v>
      </c>
      <c r="E37" s="7" t="str">
        <f aca="false">CHOOSE(SUMPRODUCT((Data!$A$2:$A$2227=$A37)*(Data!$F$2:$F$2227=D37)*Data!$C$2:$C$2227),"Jan","Feb","Mar","Apr","May","Jun","Jul","Aug","Sep","Oct","Nov","Dec")&amp;" "&amp;SUMPRODUCT((Data!$A$2:$A$2227=$A37)*(Data!$F$2:$F$2227=D37)*Data!$B$2:$B$2227)</f>
        <v>Aug 2026</v>
      </c>
      <c r="F37" s="6" t="n">
        <f aca="false">SUMPRODUCT(MAX((Data!$A$2:$A$2227=$A37)*Data!$G$2:$G$2227))</f>
        <v>49994.81</v>
      </c>
      <c r="G37" s="7" t="str">
        <f aca="false">CHOOSE(SUMPRODUCT((Data!$A$2:$A$2227=$A37)*(Data!$G$2:$G$2227=F37)*Data!$C$2:$C$2227),"Jan","Feb","Mar","Apr","May","Jun","Jul","Aug","Sep","Oct","Nov","Dec")&amp;" "&amp;SUMPRODUCT((Data!$A$2:$A$2227=$A37)*(Data!$G$2:$G$2227=F37)*Data!$B$2:$B$2227)</f>
        <v>Nov 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20" t="s">
        <v>69</v>
      </c>
    </row>
    <row r="3" customFormat="false" ht="15" hidden="false" customHeight="false" outlineLevel="0" collapsed="false">
      <c r="A3" s="14" t="s">
        <v>70</v>
      </c>
    </row>
    <row r="4" customFormat="false" ht="15" hidden="false" customHeight="false" outlineLevel="0" collapsed="false">
      <c r="A4" s="14" t="s">
        <v>71</v>
      </c>
    </row>
    <row r="5" customFormat="false" ht="15" hidden="false" customHeight="false" outlineLevel="0" collapsed="false">
      <c r="A5" s="14" t="s">
        <v>72</v>
      </c>
    </row>
    <row r="6" customFormat="false" ht="15" hidden="false" customHeight="false" outlineLevel="0" collapsed="false">
      <c r="A6" s="14" t="s">
        <v>73</v>
      </c>
    </row>
    <row r="7" customFormat="false" ht="15" hidden="false" customHeight="false" outlineLevel="0" collapsed="false">
      <c r="A7" s="14" t="s">
        <v>74</v>
      </c>
    </row>
    <row r="9" customFormat="false" ht="15" hidden="false" customHeight="false" outlineLevel="0" collapsed="false">
      <c r="A9" s="14" t="s">
        <v>75</v>
      </c>
    </row>
    <row r="10" customFormat="false" ht="15" hidden="false" customHeight="false" outlineLevel="0" collapsed="false">
      <c r="A10" s="14" t="s">
        <v>76</v>
      </c>
    </row>
    <row r="11" customFormat="false" ht="15" hidden="false" customHeight="false" outlineLevel="0" collapsed="false">
      <c r="A11" s="14" t="s">
        <v>77</v>
      </c>
    </row>
    <row r="12" customFormat="false" ht="15" hidden="false" customHeight="false" outlineLevel="0" collapsed="false">
      <c r="A12" s="14" t="s">
        <v>78</v>
      </c>
    </row>
    <row r="13" customFormat="false" ht="15" hidden="false" customHeight="false" outlineLevel="0" collapsed="false">
      <c r="A13" s="14" t="s">
        <v>79</v>
      </c>
    </row>
    <row r="14" customFormat="false" ht="15" hidden="false" customHeight="false" outlineLevel="0" collapsed="false">
      <c r="A14" s="14" t="s">
        <v>80</v>
      </c>
    </row>
    <row r="16" customFormat="false" ht="15" hidden="false" customHeight="false" outlineLevel="0" collapsed="false">
      <c r="A16" s="14" t="s">
        <v>81</v>
      </c>
    </row>
    <row r="17" customFormat="false" ht="15" hidden="false" customHeight="false" outlineLevel="0" collapsed="false">
      <c r="A17" s="14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2026-10-08T17:23:41Z</dcterms:created>
  <dc:creator>openpyxl</dc:creator>
  <dc:description/>
  <dc:language>en-US</dc:language>
  <cp:lastModifiedBy/>
  <dcterms:modified xsi:type="dcterms:W3CDTF">2026-10-08T17:23:41Z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